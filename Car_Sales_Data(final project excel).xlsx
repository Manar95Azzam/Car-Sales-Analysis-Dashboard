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2.xml" ContentType="application/vnd.openxmlformats-officedocument.spreadsheetml.pivotTable+xml"/>
  <Override PartName="/xl/drawings/drawing12.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D:\New folder\"/>
    </mc:Choice>
  </mc:AlternateContent>
  <xr:revisionPtr revIDLastSave="0" documentId="8_{99EB6E22-8399-4335-BB06-3A00B0B70EAE}" xr6:coauthVersionLast="47" xr6:coauthVersionMax="47" xr10:uidLastSave="{00000000-0000-0000-0000-000000000000}"/>
  <bookViews>
    <workbookView xWindow="-108" yWindow="-108" windowWidth="23256" windowHeight="13896" firstSheet="1" activeTab="2" xr2:uid="{F6FEAB88-F3C7-4419-9DA7-703567157EBB}"/>
  </bookViews>
  <sheets>
    <sheet name="Car_Sales_Data(1)" sheetId="1" r:id="rId1"/>
    <sheet name="Dashboard(1)" sheetId="15" r:id="rId2"/>
    <sheet name="Dashboard(2)" sheetId="21" r:id="rId3"/>
    <sheet name="KPIs" sheetId="2" r:id="rId4"/>
    <sheet name="Highest Chart" sheetId="3" r:id="rId5"/>
    <sheet name="Most Expensive Car " sheetId="4" r:id="rId6"/>
    <sheet name="Volume of Cars Sold" sheetId="5" r:id="rId7"/>
    <sheet name="Sales by State " sheetId="6" r:id="rId8"/>
    <sheet name="Transmission Type" sheetId="7" r:id="rId9"/>
    <sheet name="Sales by Year" sheetId="8" r:id="rId10"/>
    <sheet name="Color" sheetId="9" r:id="rId11"/>
    <sheet name="Average Car Condition " sheetId="10" r:id="rId12"/>
    <sheet name="Body Type " sheetId="13" r:id="rId13"/>
    <sheet name="Sales by Date " sheetId="14" r:id="rId14"/>
  </sheets>
  <definedNames>
    <definedName name="_xlcn.WorksheetConnection_KPIsC9C101" hidden="1">KPIs!$C$9:$C$10</definedName>
    <definedName name="Slicer_Brand">#N/A</definedName>
    <definedName name="Slicer_State">#N/A</definedName>
  </definedNames>
  <calcPr calcId="191029"/>
  <pivotCaches>
    <pivotCache cacheId="32" r:id="rId15"/>
    <pivotCache cacheId="15"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KPIs!$C$9:$C$10"/>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0EC090D-A988-4D3A-9A63-7762E87B1E0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8A9B9DE-2DD9-4DFB-BC1C-394D24593B90}" name="WorksheetConnection_KPIs!$C$9:$C$10" type="102" refreshedVersion="8" minRefreshableVersion="5">
    <extLst>
      <ext xmlns:x15="http://schemas.microsoft.com/office/spreadsheetml/2010/11/main" uri="{DE250136-89BD-433C-8126-D09CA5730AF9}">
        <x15:connection id="Range" autoDelete="1">
          <x15:rangePr sourceName="_xlcn.WorksheetConnection_KPIsC9C101"/>
        </x15:connection>
      </ext>
    </extLst>
  </connection>
</connections>
</file>

<file path=xl/sharedStrings.xml><?xml version="1.0" encoding="utf-8"?>
<sst xmlns="http://schemas.openxmlformats.org/spreadsheetml/2006/main" count="1386" uniqueCount="94">
  <si>
    <t>Date</t>
  </si>
  <si>
    <t>Year</t>
  </si>
  <si>
    <t>Brand</t>
  </si>
  <si>
    <t>State</t>
  </si>
  <si>
    <t>Color</t>
  </si>
  <si>
    <t>Condition</t>
  </si>
  <si>
    <t>Body Type</t>
  </si>
  <si>
    <t>Transmission</t>
  </si>
  <si>
    <t>Unit Price</t>
  </si>
  <si>
    <t>Quantity</t>
  </si>
  <si>
    <t>Total Sales</t>
  </si>
  <si>
    <t>Aston Martin</t>
  </si>
  <si>
    <t>Tennessee</t>
  </si>
  <si>
    <t>Turquoise</t>
  </si>
  <si>
    <t>Minivan</t>
  </si>
  <si>
    <t>Manual</t>
  </si>
  <si>
    <t>Tesla</t>
  </si>
  <si>
    <t>Ohio</t>
  </si>
  <si>
    <t>Lime</t>
  </si>
  <si>
    <t>SuperCrew</t>
  </si>
  <si>
    <t>Lotus</t>
  </si>
  <si>
    <t>Georgia</t>
  </si>
  <si>
    <t>Brown</t>
  </si>
  <si>
    <t>Crew Cab</t>
  </si>
  <si>
    <t>Infiniti</t>
  </si>
  <si>
    <t>Florida</t>
  </si>
  <si>
    <t>Pink</t>
  </si>
  <si>
    <t>Sedan</t>
  </si>
  <si>
    <t>Automatic</t>
  </si>
  <si>
    <t>Hyundai</t>
  </si>
  <si>
    <t>Texas</t>
  </si>
  <si>
    <t>Gray</t>
  </si>
  <si>
    <t>G Sedan</t>
  </si>
  <si>
    <t>Lexus</t>
  </si>
  <si>
    <t>Silver</t>
  </si>
  <si>
    <t>Lamborghini</t>
  </si>
  <si>
    <t>Missouri</t>
  </si>
  <si>
    <t>Toyota</t>
  </si>
  <si>
    <t>Charcoal</t>
  </si>
  <si>
    <t>Chevrolet</t>
  </si>
  <si>
    <t>California</t>
  </si>
  <si>
    <t>Yellow</t>
  </si>
  <si>
    <t>Orange</t>
  </si>
  <si>
    <t>Convertible</t>
  </si>
  <si>
    <t>Rolls Royce</t>
  </si>
  <si>
    <t>Black</t>
  </si>
  <si>
    <t>Hatchback</t>
  </si>
  <si>
    <t>Beige</t>
  </si>
  <si>
    <t>Pennsylvania</t>
  </si>
  <si>
    <t>Purple</t>
  </si>
  <si>
    <t>Ferrari</t>
  </si>
  <si>
    <t>SUV</t>
  </si>
  <si>
    <t>Porsche</t>
  </si>
  <si>
    <t>Blue</t>
  </si>
  <si>
    <t>Wagon</t>
  </si>
  <si>
    <t>Nissan</t>
  </si>
  <si>
    <t>Illinois</t>
  </si>
  <si>
    <t>Chrysler</t>
  </si>
  <si>
    <t>White</t>
  </si>
  <si>
    <t>Bentley</t>
  </si>
  <si>
    <t>Fisker</t>
  </si>
  <si>
    <t>Ford</t>
  </si>
  <si>
    <t>New York</t>
  </si>
  <si>
    <t>Coupe</t>
  </si>
  <si>
    <t>BMW</t>
  </si>
  <si>
    <t>Green</t>
  </si>
  <si>
    <t>Dodge</t>
  </si>
  <si>
    <t>Off-White</t>
  </si>
  <si>
    <t>Kia</t>
  </si>
  <si>
    <t>Gold</t>
  </si>
  <si>
    <t>Red</t>
  </si>
  <si>
    <t>Honda</t>
  </si>
  <si>
    <t>Mercedes-Benz</t>
  </si>
  <si>
    <t>Maserati</t>
  </si>
  <si>
    <t>Sum of Total Sales</t>
  </si>
  <si>
    <t>Sum of Quantity</t>
  </si>
  <si>
    <t>Count of Brand</t>
  </si>
  <si>
    <t>Sum of Distinict count of Brand</t>
  </si>
  <si>
    <t>Average of Unit Price</t>
  </si>
  <si>
    <t>Row Labels</t>
  </si>
  <si>
    <t>Average of Total Sales</t>
  </si>
  <si>
    <t>Average of Condition</t>
  </si>
  <si>
    <t>Jun</t>
  </si>
  <si>
    <t>Jul</t>
  </si>
  <si>
    <t>Sep</t>
  </si>
  <si>
    <t>Oct</t>
  </si>
  <si>
    <t>Nov</t>
  </si>
  <si>
    <t>Dec</t>
  </si>
  <si>
    <t>Feb</t>
  </si>
  <si>
    <t>Apr</t>
  </si>
  <si>
    <t>Aug</t>
  </si>
  <si>
    <t>Jan</t>
  </si>
  <si>
    <t>Mar</t>
  </si>
  <si>
    <t>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</si>
</sst>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5" formatCode="_(&quot;$&quot;* #,##0_);_(&quot;$&quot;* \(#,##0\);_(&quot;$&quot;*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9">
    <xf numFmtId="0" fontId="0" fillId="0" borderId="0" xfId="0"/>
    <xf numFmtId="14" fontId="0" fillId="0" borderId="0" xfId="0" applyNumberFormat="1"/>
    <xf numFmtId="0" fontId="0" fillId="0" borderId="0" xfId="0" applyNumberFormat="1"/>
    <xf numFmtId="165" fontId="0" fillId="0" borderId="0" xfId="42" applyNumberFormat="1" applyFont="1"/>
    <xf numFmtId="165" fontId="0" fillId="0" borderId="0" xfId="0" applyNumberFormat="1"/>
    <xf numFmtId="0" fontId="0" fillId="0" borderId="0" xfId="0" pivotButton="1"/>
    <xf numFmtId="0" fontId="0" fillId="0" borderId="0" xfId="0" applyAlignment="1">
      <alignment horizontal="left"/>
    </xf>
    <xf numFmtId="2" fontId="0" fillId="0" borderId="0" xfId="0" applyNumberFormat="1"/>
    <xf numFmtId="14" fontId="0" fillId="0" borderId="0" xfId="0" applyNumberForma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7">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2" formatCode="0.0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2" formatCode="0.0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2" formatCode="0.0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2" formatCode="0.0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2" formatCode="0.0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2" formatCode="0.0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2" formatCode="0.00"/>
    </dxf>
    <dxf>
      <numFmt numFmtId="165" formatCode="_(&quot;$&quot;* #,##0_);_(&quot;$&quot;* \(#,##0\);_(&quot;$&quot;* &quot;-&quot;??_);_(@_)"/>
    </dxf>
    <dxf>
      <numFmt numFmtId="165" formatCode="_(&quot;$&quot;* #,##0_);_(&quot;$&quot;* \(#,##0\);_(&quot;$&quot;* &quot;-&quot;??_);_(@_)"/>
    </dxf>
    <dxf>
      <font>
        <b/>
        <color theme="1"/>
      </font>
      <border diagonalUp="0" diagonalDown="0">
        <left/>
        <right/>
        <top/>
        <bottom/>
        <vertical/>
        <horizontal/>
      </border>
    </dxf>
    <dxf>
      <font>
        <color theme="1"/>
      </font>
      <border diagonalUp="0" diagonalDown="0">
        <left/>
        <right/>
        <top/>
        <bottom/>
        <vertical/>
        <horizontal/>
      </border>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9" formatCode="m/d/yyyy"/>
    </dxf>
  </dxfs>
  <tableStyles count="1" defaultTableStyle="TableStyleMedium2" defaultPivotStyle="PivotStyleLight16">
    <tableStyle name="Car Sales" pivot="0" table="0" count="10" xr9:uid="{4F108BFD-AA8B-4ABB-9C8E-AA5EAD2A46BF}">
      <tableStyleElement type="wholeTable" dxfId="66"/>
      <tableStyleElement type="headerRow" dxfId="65"/>
    </tableStyle>
  </tableStyles>
  <colors>
    <mruColors>
      <color rgb="FF5A9598"/>
      <color rgb="FF8EBABC"/>
      <color rgb="FF094E61"/>
      <color rgb="FFF3FBF9"/>
      <color rgb="FF097B19"/>
      <color rgb="FF1C948E"/>
      <color rgb="FF009668"/>
      <color rgb="FF339966"/>
      <color rgb="FF065A56"/>
      <color rgb="FF13A09D"/>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rgb="FF065A5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Car Sale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15.jpe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image" Target="../media/image15.jpeg"/><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[Car_Sales_Data(final project excel).xlsx]Highest Chart!PivotTable5</c:name>
    <c:fmtId val="10"/>
  </c:pivotSource>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Car Brands by Highest Sales </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68A85"/>
          </a:solidFill>
          <a:ln>
            <a:solidFill>
              <a:schemeClr val="bg1"/>
            </a:solidFill>
          </a:ln>
          <a:effectLst>
            <a:innerShdw blurRad="63500" dist="50800" dir="162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68A85"/>
          </a:solidFill>
          <a:ln>
            <a:solidFill>
              <a:schemeClr val="bg1"/>
            </a:solidFill>
          </a:ln>
          <a:effectLst>
            <a:innerShdw blurRad="63500" dist="50800" dir="162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68A85"/>
          </a:solidFill>
          <a:ln>
            <a:solidFill>
              <a:schemeClr val="bg1"/>
            </a:solidFill>
          </a:ln>
          <a:effectLst>
            <a:innerShdw blurRad="63500" dist="50800" dir="16200000">
              <a:prstClr val="black">
                <a:alpha val="50000"/>
              </a:prstClr>
            </a:innerShdw>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60892388451445"/>
          <c:y val="0.17171296296296298"/>
          <c:w val="0.80461329833770778"/>
          <c:h val="0.55423665791776033"/>
        </c:manualLayout>
      </c:layout>
      <c:barChart>
        <c:barDir val="col"/>
        <c:grouping val="stacked"/>
        <c:varyColors val="0"/>
        <c:ser>
          <c:idx val="0"/>
          <c:order val="0"/>
          <c:tx>
            <c:strRef>
              <c:f>'Highest Chart'!$C$2</c:f>
              <c:strCache>
                <c:ptCount val="1"/>
                <c:pt idx="0">
                  <c:v>Total</c:v>
                </c:pt>
              </c:strCache>
            </c:strRef>
          </c:tx>
          <c:spPr>
            <a:solidFill>
              <a:srgbClr val="268A85"/>
            </a:solidFill>
            <a:ln>
              <a:solidFill>
                <a:schemeClr val="bg1"/>
              </a:solidFill>
            </a:ln>
            <a:effectLst>
              <a:innerShdw blurRad="63500" dist="50800" dir="16200000">
                <a:prstClr val="black">
                  <a:alpha val="50000"/>
                </a:prstClr>
              </a:innerShdw>
            </a:effectLst>
          </c:spPr>
          <c:invertIfNegative val="0"/>
          <c:cat>
            <c:strRef>
              <c:f>'Highest Chart'!$B$3:$B$25</c:f>
              <c:strCache>
                <c:ptCount val="23"/>
                <c:pt idx="0">
                  <c:v>Ferrari</c:v>
                </c:pt>
                <c:pt idx="1">
                  <c:v>Lamborghini</c:v>
                </c:pt>
                <c:pt idx="2">
                  <c:v>Rolls Royce</c:v>
                </c:pt>
                <c:pt idx="3">
                  <c:v>Tesla</c:v>
                </c:pt>
                <c:pt idx="4">
                  <c:v>Bentley</c:v>
                </c:pt>
                <c:pt idx="5">
                  <c:v>Aston Martin</c:v>
                </c:pt>
                <c:pt idx="6">
                  <c:v>Mercedes-Benz</c:v>
                </c:pt>
                <c:pt idx="7">
                  <c:v>Lexus</c:v>
                </c:pt>
                <c:pt idx="8">
                  <c:v>Nissan</c:v>
                </c:pt>
                <c:pt idx="9">
                  <c:v>Lotus</c:v>
                </c:pt>
                <c:pt idx="10">
                  <c:v>BMW</c:v>
                </c:pt>
                <c:pt idx="11">
                  <c:v>Maserati</c:v>
                </c:pt>
                <c:pt idx="12">
                  <c:v>Toyota</c:v>
                </c:pt>
                <c:pt idx="13">
                  <c:v>Fisker</c:v>
                </c:pt>
                <c:pt idx="14">
                  <c:v>Honda</c:v>
                </c:pt>
                <c:pt idx="15">
                  <c:v>Ford</c:v>
                </c:pt>
                <c:pt idx="16">
                  <c:v>Infiniti</c:v>
                </c:pt>
                <c:pt idx="17">
                  <c:v>Kia</c:v>
                </c:pt>
                <c:pt idx="18">
                  <c:v>Hyundai</c:v>
                </c:pt>
                <c:pt idx="19">
                  <c:v>Dodge</c:v>
                </c:pt>
                <c:pt idx="20">
                  <c:v>Chrysler</c:v>
                </c:pt>
                <c:pt idx="21">
                  <c:v>Porsche</c:v>
                </c:pt>
                <c:pt idx="22">
                  <c:v>Chevrolet</c:v>
                </c:pt>
              </c:strCache>
            </c:strRef>
          </c:cat>
          <c:val>
            <c:numRef>
              <c:f>'Highest Chart'!$C$3:$C$25</c:f>
              <c:numCache>
                <c:formatCode>_("$"* #,##0_);_("$"* \(#,##0\);_("$"* "-"??_);_(@_)</c:formatCode>
                <c:ptCount val="23"/>
                <c:pt idx="0">
                  <c:v>6880000</c:v>
                </c:pt>
                <c:pt idx="1">
                  <c:v>6580000</c:v>
                </c:pt>
                <c:pt idx="2">
                  <c:v>5040000</c:v>
                </c:pt>
                <c:pt idx="3">
                  <c:v>4400000</c:v>
                </c:pt>
                <c:pt idx="4">
                  <c:v>2640000</c:v>
                </c:pt>
                <c:pt idx="5">
                  <c:v>2240000</c:v>
                </c:pt>
                <c:pt idx="6">
                  <c:v>1980000</c:v>
                </c:pt>
                <c:pt idx="7">
                  <c:v>1927000</c:v>
                </c:pt>
                <c:pt idx="8">
                  <c:v>1876000</c:v>
                </c:pt>
                <c:pt idx="9">
                  <c:v>1750000</c:v>
                </c:pt>
                <c:pt idx="10">
                  <c:v>1500000</c:v>
                </c:pt>
                <c:pt idx="11">
                  <c:v>1430000</c:v>
                </c:pt>
                <c:pt idx="12">
                  <c:v>1421000</c:v>
                </c:pt>
                <c:pt idx="13">
                  <c:v>1320000</c:v>
                </c:pt>
                <c:pt idx="14">
                  <c:v>1092000</c:v>
                </c:pt>
                <c:pt idx="15">
                  <c:v>1050000</c:v>
                </c:pt>
                <c:pt idx="16">
                  <c:v>945000</c:v>
                </c:pt>
                <c:pt idx="17">
                  <c:v>782000</c:v>
                </c:pt>
                <c:pt idx="18">
                  <c:v>768000</c:v>
                </c:pt>
                <c:pt idx="19">
                  <c:v>702000</c:v>
                </c:pt>
                <c:pt idx="20">
                  <c:v>675000</c:v>
                </c:pt>
                <c:pt idx="21">
                  <c:v>624000</c:v>
                </c:pt>
                <c:pt idx="22">
                  <c:v>480000</c:v>
                </c:pt>
              </c:numCache>
            </c:numRef>
          </c:val>
          <c:extLst>
            <c:ext xmlns:c16="http://schemas.microsoft.com/office/drawing/2014/chart" uri="{C3380CC4-5D6E-409C-BE32-E72D297353CC}">
              <c16:uniqueId val="{00000000-C255-4485-8EB3-AEC032A4C626}"/>
            </c:ext>
          </c:extLst>
        </c:ser>
        <c:dLbls>
          <c:showLegendKey val="0"/>
          <c:showVal val="0"/>
          <c:showCatName val="0"/>
          <c:showSerName val="0"/>
          <c:showPercent val="0"/>
          <c:showBubbleSize val="0"/>
        </c:dLbls>
        <c:gapWidth val="80"/>
        <c:overlap val="100"/>
        <c:axId val="880483279"/>
        <c:axId val="880484527"/>
      </c:barChart>
      <c:catAx>
        <c:axId val="880483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80484527"/>
        <c:crosses val="autoZero"/>
        <c:auto val="1"/>
        <c:lblAlgn val="ctr"/>
        <c:lblOffset val="100"/>
        <c:noMultiLvlLbl val="0"/>
      </c:catAx>
      <c:valAx>
        <c:axId val="880484527"/>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80483279"/>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139700">
        <a:schemeClr val="accent3">
          <a:satMod val="175000"/>
          <a:alpha val="40000"/>
        </a:schemeClr>
      </a:glow>
      <a:outerShdw blurRad="50800" dist="38100" algn="l" rotWithShape="0">
        <a:prstClr val="black">
          <a:alpha val="40000"/>
        </a:prstClr>
      </a:outerShdw>
      <a:softEdge rad="12700"/>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[Car_Sales_Data(final project excel).xlsx]Most Expensive Car !PivotTable6</c:name>
    <c:fmtId val="9"/>
  </c:pivotSource>
  <c:chart>
    <c:title>
      <c:tx>
        <c:rich>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r>
              <a:rPr lang="en-US"/>
              <a:t>Most Expensive Car Brands</a:t>
            </a:r>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68A85"/>
          </a:solidFill>
          <a:ln>
            <a:solidFill>
              <a:schemeClr val="bg1"/>
            </a:solidFill>
          </a:ln>
          <a:effectLst>
            <a:outerShdw blurRad="63500" sx="102000" sy="102000" algn="ctr" rotWithShape="0">
              <a:prstClr val="black">
                <a:alpha val="40000"/>
              </a:prstClr>
            </a:outerShdw>
          </a:effectLst>
          <a:sp3d>
            <a:contourClr>
              <a:schemeClr val="bg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68A85"/>
          </a:solidFill>
          <a:ln>
            <a:solidFill>
              <a:schemeClr val="bg1"/>
            </a:solidFill>
          </a:ln>
          <a:effectLst>
            <a:outerShdw blurRad="63500" sx="102000" sy="102000" algn="ctr" rotWithShape="0">
              <a:prstClr val="black">
                <a:alpha val="40000"/>
              </a:prstClr>
            </a:outerShdw>
          </a:effectLst>
          <a:sp3d>
            <a:contourClr>
              <a:schemeClr val="bg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68A85"/>
          </a:solidFill>
          <a:ln>
            <a:solidFill>
              <a:schemeClr val="bg1"/>
            </a:solidFill>
          </a:ln>
          <a:effectLst>
            <a:outerShdw blurRad="63500" sx="102000" sy="102000" algn="ctr" rotWithShape="0">
              <a:prstClr val="black">
                <a:alpha val="40000"/>
              </a:prstClr>
            </a:outerShdw>
          </a:effectLst>
          <a:sp3d>
            <a:contourClr>
              <a:schemeClr val="bg1"/>
            </a:contourClr>
          </a:sp3d>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0.1190717815586403"/>
          <c:y val="0.13278145695364241"/>
          <c:w val="0.85595092507169579"/>
          <c:h val="0.64575098642471018"/>
        </c:manualLayout>
      </c:layout>
      <c:bar3DChart>
        <c:barDir val="col"/>
        <c:grouping val="stacked"/>
        <c:varyColors val="0"/>
        <c:ser>
          <c:idx val="0"/>
          <c:order val="0"/>
          <c:tx>
            <c:strRef>
              <c:f>'Most Expensive Car '!$C$2</c:f>
              <c:strCache>
                <c:ptCount val="1"/>
                <c:pt idx="0">
                  <c:v>Total</c:v>
                </c:pt>
              </c:strCache>
            </c:strRef>
          </c:tx>
          <c:spPr>
            <a:solidFill>
              <a:srgbClr val="268A85"/>
            </a:solidFill>
            <a:ln>
              <a:solidFill>
                <a:schemeClr val="bg1"/>
              </a:solidFill>
            </a:ln>
            <a:effectLst>
              <a:outerShdw blurRad="63500" sx="102000" sy="102000" algn="ctr" rotWithShape="0">
                <a:prstClr val="black">
                  <a:alpha val="40000"/>
                </a:prstClr>
              </a:outerShdw>
            </a:effectLst>
            <a:sp3d>
              <a:contourClr>
                <a:schemeClr val="bg1"/>
              </a:contourClr>
            </a:sp3d>
          </c:spPr>
          <c:invertIfNegative val="0"/>
          <c:cat>
            <c:strRef>
              <c:f>'Most Expensive Car '!$B$3:$B$12</c:f>
              <c:strCache>
                <c:ptCount val="10"/>
                <c:pt idx="0">
                  <c:v>Rolls Royce</c:v>
                </c:pt>
                <c:pt idx="1">
                  <c:v>Ferrari</c:v>
                </c:pt>
                <c:pt idx="2">
                  <c:v>Lamborghini</c:v>
                </c:pt>
                <c:pt idx="3">
                  <c:v>Bentley</c:v>
                </c:pt>
                <c:pt idx="4">
                  <c:v>Tesla</c:v>
                </c:pt>
                <c:pt idx="5">
                  <c:v>Aston Martin</c:v>
                </c:pt>
                <c:pt idx="6">
                  <c:v>Maserati</c:v>
                </c:pt>
                <c:pt idx="7">
                  <c:v>Fisker</c:v>
                </c:pt>
                <c:pt idx="8">
                  <c:v>Lotus</c:v>
                </c:pt>
                <c:pt idx="9">
                  <c:v>Mercedes-Benz</c:v>
                </c:pt>
              </c:strCache>
            </c:strRef>
          </c:cat>
          <c:val>
            <c:numRef>
              <c:f>'Most Expensive Car '!$C$3:$C$12</c:f>
              <c:numCache>
                <c:formatCode>_("$"* #,##0_);_("$"* \(#,##0\);_("$"* "-"??_);_(@_)</c:formatCode>
                <c:ptCount val="10"/>
                <c:pt idx="0">
                  <c:v>560000</c:v>
                </c:pt>
                <c:pt idx="1">
                  <c:v>529230.76923076925</c:v>
                </c:pt>
                <c:pt idx="2">
                  <c:v>470000</c:v>
                </c:pt>
                <c:pt idx="3">
                  <c:v>330000</c:v>
                </c:pt>
                <c:pt idx="4">
                  <c:v>275000</c:v>
                </c:pt>
                <c:pt idx="5">
                  <c:v>224000</c:v>
                </c:pt>
                <c:pt idx="6">
                  <c:v>204285.71428571429</c:v>
                </c:pt>
                <c:pt idx="7">
                  <c:v>188571.42857142858</c:v>
                </c:pt>
                <c:pt idx="8">
                  <c:v>159090.90909090909</c:v>
                </c:pt>
                <c:pt idx="9">
                  <c:v>152307.69230769231</c:v>
                </c:pt>
              </c:numCache>
            </c:numRef>
          </c:val>
          <c:extLst>
            <c:ext xmlns:c16="http://schemas.microsoft.com/office/drawing/2014/chart" uri="{C3380CC4-5D6E-409C-BE32-E72D297353CC}">
              <c16:uniqueId val="{00000000-C94E-4F78-8450-F028BC70C591}"/>
            </c:ext>
          </c:extLst>
        </c:ser>
        <c:dLbls>
          <c:showLegendKey val="0"/>
          <c:showVal val="0"/>
          <c:showCatName val="0"/>
          <c:showSerName val="0"/>
          <c:showPercent val="0"/>
          <c:showBubbleSize val="0"/>
        </c:dLbls>
        <c:gapWidth val="80"/>
        <c:shape val="box"/>
        <c:axId val="950968991"/>
        <c:axId val="950980223"/>
        <c:axId val="0"/>
      </c:bar3DChart>
      <c:catAx>
        <c:axId val="9509689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950980223"/>
        <c:crosses val="autoZero"/>
        <c:auto val="1"/>
        <c:lblAlgn val="ctr"/>
        <c:lblOffset val="100"/>
        <c:noMultiLvlLbl val="0"/>
      </c:catAx>
      <c:valAx>
        <c:axId val="950980223"/>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950968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alpha val="97000"/>
        </a:schemeClr>
      </a:solidFill>
      <a:round/>
    </a:ln>
    <a:effectLst>
      <a:glow rad="101600">
        <a:schemeClr val="accent3">
          <a:satMod val="175000"/>
          <a:alpha val="40000"/>
        </a:schemeClr>
      </a:glow>
      <a:softEdge rad="12700"/>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[Car_Sales_Data(final project excel).xlsx]Volume of Cars Sold!PivotTable7</c:name>
    <c:fmtId val="3"/>
  </c:pivotSource>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Brands by Number of Cars Sold </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68A85"/>
          </a:solidFill>
          <a:ln>
            <a:noFill/>
          </a:ln>
          <a:effectLst>
            <a:outerShdw blurRad="63500" dist="25400" dir="27000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68A85"/>
          </a:solidFill>
          <a:ln>
            <a:noFill/>
          </a:ln>
          <a:effectLst>
            <a:outerShdw blurRad="63500" dist="25400" dir="2700000" sx="102000" sy="102000" algn="ctr" rotWithShape="0">
              <a:prstClr val="black">
                <a:alpha val="40000"/>
              </a:prstClr>
            </a:outerShdw>
          </a:effectLst>
        </c:spPr>
      </c:pivotFmt>
      <c:pivotFmt>
        <c:idx val="2"/>
        <c:spPr>
          <a:solidFill>
            <a:srgbClr val="268A85"/>
          </a:solidFill>
          <a:ln>
            <a:noFill/>
          </a:ln>
          <a:effectLst>
            <a:outerShdw blurRad="63500" dist="25400" dir="27000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68A85"/>
          </a:solidFill>
          <a:ln>
            <a:noFill/>
          </a:ln>
          <a:effectLst>
            <a:outerShdw blurRad="63500" dist="25400" dir="27000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247594050743655E-2"/>
          <c:y val="0.14087078651685395"/>
          <c:w val="0.90297462817147855"/>
          <c:h val="0.54922808104043175"/>
        </c:manualLayout>
      </c:layout>
      <c:barChart>
        <c:barDir val="col"/>
        <c:grouping val="clustered"/>
        <c:varyColors val="0"/>
        <c:ser>
          <c:idx val="0"/>
          <c:order val="0"/>
          <c:tx>
            <c:strRef>
              <c:f>'Volume of Cars Sold'!$C$2</c:f>
              <c:strCache>
                <c:ptCount val="1"/>
                <c:pt idx="0">
                  <c:v>Total</c:v>
                </c:pt>
              </c:strCache>
            </c:strRef>
          </c:tx>
          <c:spPr>
            <a:solidFill>
              <a:srgbClr val="268A85"/>
            </a:solidFill>
            <a:ln>
              <a:noFill/>
            </a:ln>
            <a:effectLst>
              <a:outerShdw blurRad="63500" dist="25400" dir="2700000" sx="102000" sy="102000" algn="ctr" rotWithShape="0">
                <a:prstClr val="black">
                  <a:alpha val="40000"/>
                </a:prstClr>
              </a:outerShdw>
            </a:effectLst>
          </c:spPr>
          <c:invertIfNegative val="0"/>
          <c:cat>
            <c:strRef>
              <c:f>'Volume of Cars Sold'!$B$3:$B$25</c:f>
              <c:strCache>
                <c:ptCount val="23"/>
                <c:pt idx="0">
                  <c:v>Nissan</c:v>
                </c:pt>
                <c:pt idx="1">
                  <c:v>Tesla</c:v>
                </c:pt>
                <c:pt idx="2">
                  <c:v>Toyota</c:v>
                </c:pt>
                <c:pt idx="3">
                  <c:v>Lamborghini</c:v>
                </c:pt>
                <c:pt idx="4">
                  <c:v>Ferrari</c:v>
                </c:pt>
                <c:pt idx="5">
                  <c:v>Honda</c:v>
                </c:pt>
                <c:pt idx="6">
                  <c:v>Lexus</c:v>
                </c:pt>
                <c:pt idx="7">
                  <c:v>Mercedes-Benz</c:v>
                </c:pt>
                <c:pt idx="8">
                  <c:v>Lotus</c:v>
                </c:pt>
                <c:pt idx="9">
                  <c:v>Ford</c:v>
                </c:pt>
                <c:pt idx="10">
                  <c:v>Kia</c:v>
                </c:pt>
                <c:pt idx="11">
                  <c:v>Aston Martin</c:v>
                </c:pt>
                <c:pt idx="12">
                  <c:v>Hyundai</c:v>
                </c:pt>
                <c:pt idx="13">
                  <c:v>BMW</c:v>
                </c:pt>
                <c:pt idx="14">
                  <c:v>Rolls Royce</c:v>
                </c:pt>
                <c:pt idx="15">
                  <c:v>Chrysler</c:v>
                </c:pt>
                <c:pt idx="16">
                  <c:v>Dodge</c:v>
                </c:pt>
                <c:pt idx="17">
                  <c:v>Maserati</c:v>
                </c:pt>
                <c:pt idx="18">
                  <c:v>Fisker</c:v>
                </c:pt>
                <c:pt idx="19">
                  <c:v>Bentley</c:v>
                </c:pt>
                <c:pt idx="20">
                  <c:v>Infiniti</c:v>
                </c:pt>
                <c:pt idx="21">
                  <c:v>Chevrolet</c:v>
                </c:pt>
                <c:pt idx="22">
                  <c:v>Porsche</c:v>
                </c:pt>
              </c:strCache>
            </c:strRef>
          </c:cat>
          <c:val>
            <c:numRef>
              <c:f>'Volume of Cars Sold'!$C$3:$C$25</c:f>
              <c:numCache>
                <c:formatCode>General</c:formatCode>
                <c:ptCount val="23"/>
                <c:pt idx="0">
                  <c:v>67</c:v>
                </c:pt>
                <c:pt idx="1">
                  <c:v>55</c:v>
                </c:pt>
                <c:pt idx="2">
                  <c:v>49</c:v>
                </c:pt>
                <c:pt idx="3">
                  <c:v>47</c:v>
                </c:pt>
                <c:pt idx="4">
                  <c:v>43</c:v>
                </c:pt>
                <c:pt idx="5">
                  <c:v>42</c:v>
                </c:pt>
                <c:pt idx="6">
                  <c:v>41</c:v>
                </c:pt>
                <c:pt idx="7">
                  <c:v>36</c:v>
                </c:pt>
                <c:pt idx="8">
                  <c:v>35</c:v>
                </c:pt>
                <c:pt idx="9">
                  <c:v>35</c:v>
                </c:pt>
                <c:pt idx="10">
                  <c:v>34</c:v>
                </c:pt>
                <c:pt idx="11">
                  <c:v>32</c:v>
                </c:pt>
                <c:pt idx="12">
                  <c:v>32</c:v>
                </c:pt>
                <c:pt idx="13">
                  <c:v>30</c:v>
                </c:pt>
                <c:pt idx="14">
                  <c:v>28</c:v>
                </c:pt>
                <c:pt idx="15">
                  <c:v>27</c:v>
                </c:pt>
                <c:pt idx="16">
                  <c:v>26</c:v>
                </c:pt>
                <c:pt idx="17">
                  <c:v>26</c:v>
                </c:pt>
                <c:pt idx="18">
                  <c:v>22</c:v>
                </c:pt>
                <c:pt idx="19">
                  <c:v>22</c:v>
                </c:pt>
                <c:pt idx="20">
                  <c:v>21</c:v>
                </c:pt>
                <c:pt idx="21">
                  <c:v>15</c:v>
                </c:pt>
                <c:pt idx="22">
                  <c:v>12</c:v>
                </c:pt>
              </c:numCache>
            </c:numRef>
          </c:val>
          <c:extLst>
            <c:ext xmlns:c16="http://schemas.microsoft.com/office/drawing/2014/chart" uri="{C3380CC4-5D6E-409C-BE32-E72D297353CC}">
              <c16:uniqueId val="{00000000-C376-4488-8201-B19FE034923E}"/>
            </c:ext>
          </c:extLst>
        </c:ser>
        <c:dLbls>
          <c:showLegendKey val="0"/>
          <c:showVal val="0"/>
          <c:showCatName val="0"/>
          <c:showSerName val="0"/>
          <c:showPercent val="0"/>
          <c:showBubbleSize val="0"/>
        </c:dLbls>
        <c:gapWidth val="80"/>
        <c:overlap val="-27"/>
        <c:axId val="1597857055"/>
        <c:axId val="1597852479"/>
      </c:barChart>
      <c:catAx>
        <c:axId val="159785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597852479"/>
        <c:crosses val="autoZero"/>
        <c:auto val="1"/>
        <c:lblAlgn val="ctr"/>
        <c:lblOffset val="100"/>
        <c:noMultiLvlLbl val="0"/>
      </c:catAx>
      <c:valAx>
        <c:axId val="15978524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59785705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a:glow rad="139700">
        <a:schemeClr val="accent3">
          <a:satMod val="175000"/>
          <a:alpha val="40000"/>
        </a:schemeClr>
      </a:glow>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[Car_Sales_Data(final project excel).xlsx]Sales by State !PivotTable8</c:name>
    <c:fmtId val="51"/>
  </c:pivotSource>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Sales  by State </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68A85"/>
          </a:solidFill>
          <a:ln>
            <a:solidFill>
              <a:schemeClr val="bg1"/>
            </a:solidFill>
          </a:ln>
          <a:effectLst>
            <a:innerShdw blurRad="63500" dist="50800" dir="162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68A85"/>
          </a:solidFill>
          <a:ln>
            <a:solidFill>
              <a:schemeClr val="bg1"/>
            </a:solidFill>
          </a:ln>
          <a:effectLst>
            <a:innerShdw blurRad="63500" dist="50800" dir="162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68A85"/>
          </a:solidFill>
          <a:ln>
            <a:solidFill>
              <a:schemeClr val="bg1"/>
            </a:solidFill>
          </a:ln>
          <a:effectLst>
            <a:innerShdw blurRad="63500" dist="50800" dir="16200000">
              <a:prstClr val="black">
                <a:alpha val="50000"/>
              </a:prstClr>
            </a:innerShdw>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56528558077581"/>
          <c:y val="0.17171296296296298"/>
          <c:w val="0.82969710641558614"/>
          <c:h val="0.58158792650918634"/>
        </c:manualLayout>
      </c:layout>
      <c:barChart>
        <c:barDir val="col"/>
        <c:grouping val="clustered"/>
        <c:varyColors val="0"/>
        <c:ser>
          <c:idx val="0"/>
          <c:order val="0"/>
          <c:tx>
            <c:strRef>
              <c:f>'Sales by State '!$C$3</c:f>
              <c:strCache>
                <c:ptCount val="1"/>
                <c:pt idx="0">
                  <c:v>Total</c:v>
                </c:pt>
              </c:strCache>
            </c:strRef>
          </c:tx>
          <c:spPr>
            <a:solidFill>
              <a:srgbClr val="268A85"/>
            </a:solidFill>
            <a:ln>
              <a:solidFill>
                <a:schemeClr val="bg1"/>
              </a:solidFill>
            </a:ln>
            <a:effectLst>
              <a:innerShdw blurRad="63500" dist="50800" dir="16200000">
                <a:prstClr val="black">
                  <a:alpha val="50000"/>
                </a:prstClr>
              </a:innerShdw>
            </a:effectLst>
          </c:spPr>
          <c:invertIfNegative val="0"/>
          <c:cat>
            <c:strRef>
              <c:f>'Sales by State '!$B$4:$B$13</c:f>
              <c:strCache>
                <c:ptCount val="10"/>
                <c:pt idx="0">
                  <c:v>Tennessee</c:v>
                </c:pt>
                <c:pt idx="1">
                  <c:v>Ohio</c:v>
                </c:pt>
                <c:pt idx="2">
                  <c:v>Missouri</c:v>
                </c:pt>
                <c:pt idx="3">
                  <c:v>California</c:v>
                </c:pt>
                <c:pt idx="4">
                  <c:v>New York</c:v>
                </c:pt>
                <c:pt idx="5">
                  <c:v>Illinois</c:v>
                </c:pt>
                <c:pt idx="6">
                  <c:v>Pennsylvania</c:v>
                </c:pt>
                <c:pt idx="7">
                  <c:v>Texas</c:v>
                </c:pt>
                <c:pt idx="8">
                  <c:v>Georgia</c:v>
                </c:pt>
                <c:pt idx="9">
                  <c:v>Florida</c:v>
                </c:pt>
              </c:strCache>
            </c:strRef>
          </c:cat>
          <c:val>
            <c:numRef>
              <c:f>'Sales by State '!$C$4:$C$13</c:f>
              <c:numCache>
                <c:formatCode>_("$"* #,##0_);_("$"* \(#,##0\);_("$"* "-"??_);_(@_)</c:formatCode>
                <c:ptCount val="10"/>
                <c:pt idx="0">
                  <c:v>9737000</c:v>
                </c:pt>
                <c:pt idx="1">
                  <c:v>7342000</c:v>
                </c:pt>
                <c:pt idx="2">
                  <c:v>5865000</c:v>
                </c:pt>
                <c:pt idx="3">
                  <c:v>4625000</c:v>
                </c:pt>
                <c:pt idx="4">
                  <c:v>3981000</c:v>
                </c:pt>
                <c:pt idx="5">
                  <c:v>3768000</c:v>
                </c:pt>
                <c:pt idx="6">
                  <c:v>3587000</c:v>
                </c:pt>
                <c:pt idx="7">
                  <c:v>3538000</c:v>
                </c:pt>
                <c:pt idx="8">
                  <c:v>3154000</c:v>
                </c:pt>
                <c:pt idx="9">
                  <c:v>2505000</c:v>
                </c:pt>
              </c:numCache>
            </c:numRef>
          </c:val>
          <c:extLst>
            <c:ext xmlns:c16="http://schemas.microsoft.com/office/drawing/2014/chart" uri="{C3380CC4-5D6E-409C-BE32-E72D297353CC}">
              <c16:uniqueId val="{00000000-27E2-4527-B208-2D6330370674}"/>
            </c:ext>
          </c:extLst>
        </c:ser>
        <c:dLbls>
          <c:showLegendKey val="0"/>
          <c:showVal val="0"/>
          <c:showCatName val="0"/>
          <c:showSerName val="0"/>
          <c:showPercent val="0"/>
          <c:showBubbleSize val="0"/>
        </c:dLbls>
        <c:gapWidth val="80"/>
        <c:overlap val="-27"/>
        <c:axId val="467370959"/>
        <c:axId val="875573327"/>
      </c:barChart>
      <c:catAx>
        <c:axId val="467370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75573327"/>
        <c:crosses val="autoZero"/>
        <c:auto val="1"/>
        <c:lblAlgn val="ctr"/>
        <c:lblOffset val="100"/>
        <c:noMultiLvlLbl val="0"/>
      </c:catAx>
      <c:valAx>
        <c:axId val="875573327"/>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4673709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alpha val="98000"/>
        </a:schemeClr>
      </a:solidFill>
      <a:round/>
    </a:ln>
    <a:effectLst>
      <a:glow rad="101600">
        <a:schemeClr val="accent3">
          <a:satMod val="175000"/>
          <a:alpha val="40000"/>
        </a:schemeClr>
      </a:glow>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[Car_Sales_Data(final project excel).xlsx]Transmission Type!PivotTable9</c:name>
    <c:fmtId val="12"/>
  </c:pivotSource>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Transmission Type </a:t>
            </a:r>
          </a:p>
        </c:rich>
      </c:tx>
      <c:layout>
        <c:manualLayout>
          <c:xMode val="edge"/>
          <c:yMode val="edge"/>
          <c:x val="7.9826334208223979E-2"/>
          <c:y val="3.7037037037037035E-2"/>
        </c:manualLayout>
      </c:layout>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68A8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tile tx="0" ty="0" sx="100000" sy="100000" flip="none" algn="tl"/>
          </a:blipFill>
          <a:ln w="19050">
            <a:solidFill>
              <a:schemeClr val="bg1"/>
            </a:solidFill>
          </a:ln>
          <a:effectLst>
            <a:outerShdw blurRad="50800" dist="25400" dir="2700000" algn="t" rotWithShape="0">
              <a:prstClr val="black">
                <a:alpha val="40000"/>
              </a:prstClr>
            </a:outerShdw>
          </a:effectLst>
        </c:spPr>
      </c:pivotFmt>
      <c:pivotFmt>
        <c:idx val="2"/>
        <c:spPr>
          <a:solidFill>
            <a:srgbClr val="268A85"/>
          </a:solidFill>
          <a:ln w="19050">
            <a:solidFill>
              <a:schemeClr val="lt1"/>
            </a:solidFill>
          </a:ln>
          <a:effectLst>
            <a:outerShdw blurRad="50800" dist="38100" dir="5400000" algn="t" rotWithShape="0">
              <a:prstClr val="black">
                <a:alpha val="40000"/>
              </a:prstClr>
            </a:outerShdw>
          </a:effectLst>
        </c:spPr>
      </c:pivotFmt>
      <c:pivotFmt>
        <c:idx val="3"/>
        <c:spPr>
          <a:solidFill>
            <a:srgbClr val="268A8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68A85"/>
          </a:solidFill>
          <a:ln w="19050">
            <a:solidFill>
              <a:schemeClr val="lt1"/>
            </a:solidFill>
          </a:ln>
          <a:effectLst>
            <a:outerShdw blurRad="50800" dist="38100" dir="5400000" algn="t" rotWithShape="0">
              <a:prstClr val="black">
                <a:alpha val="40000"/>
              </a:prstClr>
            </a:outerShdw>
          </a:effectLst>
        </c:spPr>
      </c:pivotFmt>
      <c:pivotFmt>
        <c:idx val="5"/>
        <c:spPr>
          <a:blipFill>
            <a:blip xmlns:r="http://schemas.openxmlformats.org/officeDocument/2006/relationships" r:embed="rId3"/>
            <a:tile tx="0" ty="0" sx="100000" sy="100000" flip="none" algn="tl"/>
          </a:blipFill>
          <a:ln w="19050">
            <a:solidFill>
              <a:schemeClr val="bg1"/>
            </a:solidFill>
          </a:ln>
          <a:effectLst>
            <a:outerShdw blurRad="50800" dist="25400" dir="2700000" algn="t" rotWithShape="0">
              <a:prstClr val="black">
                <a:alpha val="40000"/>
              </a:prstClr>
            </a:outerShdw>
          </a:effectLst>
        </c:spPr>
      </c:pivotFmt>
      <c:pivotFmt>
        <c:idx val="6"/>
        <c:spPr>
          <a:solidFill>
            <a:srgbClr val="268A85"/>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268A85"/>
          </a:solidFill>
          <a:ln w="19050">
            <a:solidFill>
              <a:schemeClr val="lt1"/>
            </a:solidFill>
          </a:ln>
          <a:effectLst>
            <a:outerShdw blurRad="50800" dist="38100" dir="5400000" algn="t" rotWithShape="0">
              <a:prstClr val="black">
                <a:alpha val="40000"/>
              </a:prstClr>
            </a:outerShdw>
          </a:effectLst>
        </c:spPr>
      </c:pivotFmt>
      <c:pivotFmt>
        <c:idx val="8"/>
        <c:spPr>
          <a:blipFill>
            <a:blip xmlns:r="http://schemas.openxmlformats.org/officeDocument/2006/relationships" r:embed="rId3"/>
            <a:tile tx="0" ty="0" sx="100000" sy="100000" flip="none" algn="tl"/>
          </a:blipFill>
          <a:ln w="19050">
            <a:solidFill>
              <a:schemeClr val="bg1"/>
            </a:solidFill>
          </a:ln>
          <a:effectLst>
            <a:outerShdw blurRad="50800" dist="25400" dir="2700000" algn="t" rotWithShape="0">
              <a:prstClr val="black">
                <a:alpha val="40000"/>
              </a:prstClr>
            </a:outerShdw>
          </a:effectLst>
        </c:spPr>
      </c:pivotFmt>
    </c:pivotFmts>
    <c:plotArea>
      <c:layout/>
      <c:doughnutChart>
        <c:varyColors val="1"/>
        <c:ser>
          <c:idx val="0"/>
          <c:order val="0"/>
          <c:tx>
            <c:strRef>
              <c:f>'Transmission Type'!$C$2</c:f>
              <c:strCache>
                <c:ptCount val="1"/>
                <c:pt idx="0">
                  <c:v>Total</c:v>
                </c:pt>
              </c:strCache>
            </c:strRef>
          </c:tx>
          <c:spPr>
            <a:solidFill>
              <a:srgbClr val="268A85"/>
            </a:solidFill>
          </c:spPr>
          <c:dPt>
            <c:idx val="0"/>
            <c:bubble3D val="0"/>
            <c:spPr>
              <a:solidFill>
                <a:srgbClr val="268A85"/>
              </a:solidFill>
              <a:ln w="19050">
                <a:solidFill>
                  <a:schemeClr val="lt1"/>
                </a:solid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1-96AE-466A-A6FE-0112AE5A7C85}"/>
              </c:ext>
            </c:extLst>
          </c:dPt>
          <c:dPt>
            <c:idx val="1"/>
            <c:bubble3D val="0"/>
            <c:spPr>
              <a:blipFill>
                <a:blip xmlns:r="http://schemas.openxmlformats.org/officeDocument/2006/relationships" r:embed="rId3"/>
                <a:tile tx="0" ty="0" sx="100000" sy="100000" flip="none" algn="tl"/>
              </a:blipFill>
              <a:ln w="19050">
                <a:solidFill>
                  <a:schemeClr val="bg1"/>
                </a:solidFill>
              </a:ln>
              <a:effectLst>
                <a:outerShdw blurRad="50800" dist="25400" dir="2700000" algn="t" rotWithShape="0">
                  <a:prstClr val="black">
                    <a:alpha val="40000"/>
                  </a:prstClr>
                </a:outerShdw>
              </a:effectLst>
            </c:spPr>
            <c:extLst>
              <c:ext xmlns:c16="http://schemas.microsoft.com/office/drawing/2014/chart" uri="{C3380CC4-5D6E-409C-BE32-E72D297353CC}">
                <c16:uniqueId val="{00000003-96AE-466A-A6FE-0112AE5A7C85}"/>
              </c:ext>
            </c:extLst>
          </c:dPt>
          <c:cat>
            <c:strRef>
              <c:f>'Transmission Type'!$B$3:$B$4</c:f>
              <c:strCache>
                <c:ptCount val="2"/>
                <c:pt idx="0">
                  <c:v>Automatic</c:v>
                </c:pt>
                <c:pt idx="1">
                  <c:v>Manual</c:v>
                </c:pt>
              </c:strCache>
            </c:strRef>
          </c:cat>
          <c:val>
            <c:numRef>
              <c:f>'Transmission Type'!$C$3:$C$4</c:f>
              <c:numCache>
                <c:formatCode>General</c:formatCode>
                <c:ptCount val="2"/>
                <c:pt idx="0">
                  <c:v>406</c:v>
                </c:pt>
                <c:pt idx="1">
                  <c:v>371</c:v>
                </c:pt>
              </c:numCache>
            </c:numRef>
          </c:val>
          <c:extLst>
            <c:ext xmlns:c16="http://schemas.microsoft.com/office/drawing/2014/chart" uri="{C3380CC4-5D6E-409C-BE32-E72D297353CC}">
              <c16:uniqueId val="{00000004-96AE-466A-A6FE-0112AE5A7C8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3628674540682417"/>
          <c:y val="1.167567349470813E-3"/>
          <c:w val="0.3303799212598425"/>
          <c:h val="0.15625109361329836"/>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a:glow rad="101600">
        <a:schemeClr val="accent3">
          <a:satMod val="175000"/>
          <a:alpha val="40000"/>
        </a:schemeClr>
      </a:glow>
      <a:outerShdw blurRad="50800" dist="38100" dir="5400000" algn="t" rotWithShape="0">
        <a:prstClr val="black">
          <a:alpha val="40000"/>
        </a:prstClr>
      </a:outerShdw>
      <a:softEdge rad="31750"/>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[Car_Sales_Data(final project excel).xlsx]Sales by Year!PivotTable10</c:name>
    <c:fmtId val="5"/>
  </c:pivotSource>
  <c:chart>
    <c:title>
      <c:tx>
        <c:rich>
          <a:bodyPr rot="0" spcFirstLastPara="1" vertOverflow="ellipsis" vert="horz" wrap="square" anchor="ctr" anchorCtr="1"/>
          <a:lstStyle/>
          <a:p>
            <a:pPr>
              <a:defRPr sz="2160" b="0" i="0" u="none" strike="noStrike" kern="1200" spc="0" baseline="0">
                <a:solidFill>
                  <a:schemeClr val="tx1">
                    <a:lumMod val="65000"/>
                    <a:lumOff val="35000"/>
                  </a:schemeClr>
                </a:solidFill>
                <a:latin typeface="+mn-lt"/>
                <a:ea typeface="+mn-ea"/>
                <a:cs typeface="+mn-cs"/>
              </a:defRPr>
            </a:pPr>
            <a:r>
              <a:rPr lang="en-US"/>
              <a:t>Sales by Car Year</a:t>
            </a:r>
          </a:p>
        </c:rich>
      </c:tx>
      <c:overlay val="0"/>
      <c:spPr>
        <a:noFill/>
        <a:ln>
          <a:noFill/>
        </a:ln>
        <a:effectLst/>
      </c:spPr>
      <c:txPr>
        <a:bodyPr rot="0" spcFirstLastPara="1" vertOverflow="ellipsis" vert="horz" wrap="square" anchor="ctr" anchorCtr="1"/>
        <a:lstStyle/>
        <a:p>
          <a:pPr>
            <a:defRPr sz="216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68A85"/>
          </a:solidFill>
          <a:ln>
            <a:solidFill>
              <a:schemeClr val="bg1"/>
            </a:solidFill>
          </a:ln>
          <a:effectLst>
            <a:outerShdw blurRad="63500" sx="102000" sy="102000" algn="ctr" rotWithShape="0">
              <a:prstClr val="black">
                <a:alpha val="40000"/>
              </a:prstClr>
            </a:outerShdw>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68A85"/>
          </a:solidFill>
          <a:ln>
            <a:solidFill>
              <a:schemeClr val="bg1"/>
            </a:solidFill>
          </a:ln>
          <a:effectLst>
            <a:outerShdw blurRad="63500" sx="102000" sy="102000" algn="ctr" rotWithShape="0">
              <a:prstClr val="black">
                <a:alpha val="40000"/>
              </a:prstClr>
            </a:outerShdw>
            <a:softEdge rad="12700"/>
          </a:effectLst>
        </c:spPr>
      </c:pivotFmt>
      <c:pivotFmt>
        <c:idx val="2"/>
        <c:spPr>
          <a:solidFill>
            <a:srgbClr val="268A85"/>
          </a:solidFill>
          <a:ln>
            <a:solidFill>
              <a:schemeClr val="bg1"/>
            </a:solidFill>
          </a:ln>
          <a:effectLst>
            <a:outerShdw blurRad="63500" sx="102000" sy="102000" algn="ctr" rotWithShape="0">
              <a:prstClr val="black">
                <a:alpha val="40000"/>
              </a:prstClr>
            </a:outerShdw>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68A85"/>
          </a:solidFill>
          <a:ln>
            <a:solidFill>
              <a:schemeClr val="bg1"/>
            </a:solidFill>
          </a:ln>
          <a:effectLst>
            <a:outerShdw blurRad="63500" sx="102000" sy="102000" algn="ctr" rotWithShape="0">
              <a:prstClr val="black">
                <a:alpha val="40000"/>
              </a:prstClr>
            </a:outerShdw>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68A85"/>
          </a:solidFill>
          <a:ln>
            <a:solidFill>
              <a:schemeClr val="bg1"/>
            </a:solidFill>
          </a:ln>
          <a:effectLst>
            <a:outerShdw blurRad="63500" sx="102000" sy="102000" algn="ctr" rotWithShape="0">
              <a:prstClr val="black">
                <a:alpha val="40000"/>
              </a:prstClr>
            </a:outerShdw>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268A85"/>
          </a:solidFill>
          <a:ln>
            <a:solidFill>
              <a:schemeClr val="bg1"/>
            </a:solidFill>
          </a:ln>
          <a:effectLst>
            <a:outerShdw blurRad="63500" sx="102000" sy="102000" algn="ctr" rotWithShape="0">
              <a:prstClr val="black">
                <a:alpha val="40000"/>
              </a:prstClr>
            </a:outerShdw>
            <a:softEdge rad="12700"/>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60620066421609"/>
          <c:y val="0.1370657797487066"/>
          <c:w val="0.76447462214907747"/>
          <c:h val="0.77750085840156902"/>
        </c:manualLayout>
      </c:layout>
      <c:barChart>
        <c:barDir val="col"/>
        <c:grouping val="clustered"/>
        <c:varyColors val="0"/>
        <c:ser>
          <c:idx val="0"/>
          <c:order val="0"/>
          <c:tx>
            <c:strRef>
              <c:f>'Sales by Year'!$C$3</c:f>
              <c:strCache>
                <c:ptCount val="1"/>
                <c:pt idx="0">
                  <c:v>Total</c:v>
                </c:pt>
              </c:strCache>
            </c:strRef>
          </c:tx>
          <c:spPr>
            <a:solidFill>
              <a:srgbClr val="268A85"/>
            </a:solidFill>
            <a:ln>
              <a:solidFill>
                <a:schemeClr val="bg1"/>
              </a:solidFill>
            </a:ln>
            <a:effectLst>
              <a:outerShdw blurRad="63500" sx="102000" sy="102000" algn="ctr" rotWithShape="0">
                <a:prstClr val="black">
                  <a:alpha val="40000"/>
                </a:prstClr>
              </a:outerShdw>
              <a:softEdge rad="12700"/>
            </a:effectLst>
          </c:spPr>
          <c:invertIfNegative val="0"/>
          <c:cat>
            <c:strRef>
              <c:f>'Sales by Year'!$B$4:$B$38</c:f>
              <c:strCache>
                <c:ptCount val="3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strCache>
            </c:strRef>
          </c:cat>
          <c:val>
            <c:numRef>
              <c:f>'Sales by Year'!$C$4:$C$38</c:f>
              <c:numCache>
                <c:formatCode>_("$"* #,##0_);_("$"* \(#,##0\);_("$"* "-"??_);_(@_)</c:formatCode>
                <c:ptCount val="35"/>
                <c:pt idx="0">
                  <c:v>1383000</c:v>
                </c:pt>
                <c:pt idx="1">
                  <c:v>2134000</c:v>
                </c:pt>
                <c:pt idx="2">
                  <c:v>302000</c:v>
                </c:pt>
                <c:pt idx="3">
                  <c:v>804000</c:v>
                </c:pt>
                <c:pt idx="4">
                  <c:v>1236000</c:v>
                </c:pt>
                <c:pt idx="5">
                  <c:v>896000</c:v>
                </c:pt>
                <c:pt idx="6">
                  <c:v>1415000</c:v>
                </c:pt>
                <c:pt idx="7">
                  <c:v>1596000</c:v>
                </c:pt>
                <c:pt idx="8">
                  <c:v>1161000</c:v>
                </c:pt>
                <c:pt idx="9">
                  <c:v>337000</c:v>
                </c:pt>
                <c:pt idx="10">
                  <c:v>1200000</c:v>
                </c:pt>
                <c:pt idx="11">
                  <c:v>1287000</c:v>
                </c:pt>
                <c:pt idx="12">
                  <c:v>1211000</c:v>
                </c:pt>
                <c:pt idx="13">
                  <c:v>3707000</c:v>
                </c:pt>
                <c:pt idx="14">
                  <c:v>932000</c:v>
                </c:pt>
                <c:pt idx="15">
                  <c:v>300000</c:v>
                </c:pt>
                <c:pt idx="16">
                  <c:v>1811000</c:v>
                </c:pt>
                <c:pt idx="17">
                  <c:v>945000</c:v>
                </c:pt>
                <c:pt idx="18">
                  <c:v>1992000</c:v>
                </c:pt>
                <c:pt idx="19">
                  <c:v>2199000</c:v>
                </c:pt>
                <c:pt idx="20">
                  <c:v>2585000</c:v>
                </c:pt>
                <c:pt idx="21">
                  <c:v>2967000</c:v>
                </c:pt>
                <c:pt idx="22">
                  <c:v>2080000</c:v>
                </c:pt>
                <c:pt idx="23">
                  <c:v>1461000</c:v>
                </c:pt>
                <c:pt idx="24">
                  <c:v>2130000</c:v>
                </c:pt>
                <c:pt idx="25">
                  <c:v>656000</c:v>
                </c:pt>
                <c:pt idx="26">
                  <c:v>613000</c:v>
                </c:pt>
                <c:pt idx="27">
                  <c:v>950000</c:v>
                </c:pt>
                <c:pt idx="28">
                  <c:v>2570000</c:v>
                </c:pt>
                <c:pt idx="29">
                  <c:v>459000</c:v>
                </c:pt>
                <c:pt idx="30">
                  <c:v>1137000</c:v>
                </c:pt>
                <c:pt idx="31">
                  <c:v>830000</c:v>
                </c:pt>
                <c:pt idx="32">
                  <c:v>840000</c:v>
                </c:pt>
                <c:pt idx="33">
                  <c:v>1806000</c:v>
                </c:pt>
                <c:pt idx="34">
                  <c:v>170000</c:v>
                </c:pt>
              </c:numCache>
            </c:numRef>
          </c:val>
          <c:extLst>
            <c:ext xmlns:c16="http://schemas.microsoft.com/office/drawing/2014/chart" uri="{C3380CC4-5D6E-409C-BE32-E72D297353CC}">
              <c16:uniqueId val="{00000000-C3B6-4CC0-81B5-3487AE402BCC}"/>
            </c:ext>
          </c:extLst>
        </c:ser>
        <c:dLbls>
          <c:showLegendKey val="0"/>
          <c:showVal val="0"/>
          <c:showCatName val="0"/>
          <c:showSerName val="0"/>
          <c:showPercent val="0"/>
          <c:showBubbleSize val="0"/>
        </c:dLbls>
        <c:gapWidth val="80"/>
        <c:overlap val="-27"/>
        <c:axId val="950968159"/>
        <c:axId val="950968575"/>
      </c:barChart>
      <c:catAx>
        <c:axId val="950968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950968575"/>
        <c:crosses val="autoZero"/>
        <c:auto val="1"/>
        <c:lblAlgn val="ctr"/>
        <c:lblOffset val="100"/>
        <c:noMultiLvlLbl val="0"/>
      </c:catAx>
      <c:valAx>
        <c:axId val="950968575"/>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950968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88900">
        <a:schemeClr val="accent3">
          <a:satMod val="175000"/>
          <a:alpha val="40000"/>
        </a:schemeClr>
      </a:glow>
      <a:outerShdw blurRad="63500" dist="25400" dir="2700000" sx="102000" sy="102000" algn="ctr" rotWithShape="0">
        <a:prstClr val="black">
          <a:alpha val="40000"/>
        </a:prstClr>
      </a:outerShdw>
      <a:softEdge rad="31750"/>
    </a:effectLst>
  </c:spPr>
  <c:txPr>
    <a:bodyPr/>
    <a:lstStyle/>
    <a:p>
      <a:pPr>
        <a:defRPr sz="1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[Car_Sales_Data(final project excel).xlsx]Color!PivotTable11</c:name>
    <c:fmtId val="13"/>
  </c:pivotSource>
  <c:chart>
    <c:title>
      <c:tx>
        <c:rich>
          <a:bodyPr rot="0" spcFirstLastPara="1" vertOverflow="ellipsis" vert="horz" wrap="square" anchor="ctr" anchorCtr="1"/>
          <a:lstStyle/>
          <a:p>
            <a:pPr>
              <a:defRPr sz="2160" b="0" i="0" u="none" strike="noStrike" kern="1200" spc="0" baseline="0">
                <a:solidFill>
                  <a:schemeClr val="tx1">
                    <a:lumMod val="65000"/>
                    <a:lumOff val="35000"/>
                  </a:schemeClr>
                </a:solidFill>
                <a:latin typeface="+mn-lt"/>
                <a:ea typeface="+mn-ea"/>
                <a:cs typeface="+mn-cs"/>
              </a:defRPr>
            </a:pPr>
            <a:r>
              <a:rPr lang="en-US"/>
              <a:t>Most Common Car Colors</a:t>
            </a:r>
          </a:p>
          <a:p>
            <a:pPr>
              <a:defRPr/>
            </a:pPr>
            <a:endParaRPr lang="en-US"/>
          </a:p>
        </c:rich>
      </c:tx>
      <c:overlay val="0"/>
      <c:spPr>
        <a:noFill/>
        <a:ln>
          <a:noFill/>
        </a:ln>
        <a:effectLst/>
      </c:spPr>
      <c:txPr>
        <a:bodyPr rot="0" spcFirstLastPara="1" vertOverflow="ellipsis" vert="horz" wrap="square" anchor="ctr" anchorCtr="1"/>
        <a:lstStyle/>
        <a:p>
          <a:pPr>
            <a:defRPr sz="216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68A85"/>
          </a:solidFill>
          <a:ln>
            <a:solidFill>
              <a:schemeClr val="bg1"/>
            </a:solidFill>
          </a:ln>
          <a:effectLst>
            <a:outerShdw blurRad="63500" dist="25400" dir="2700000" sx="102000" sy="102000" algn="ctr" rotWithShape="0">
              <a:prstClr val="black">
                <a:alpha val="40000"/>
              </a:prstClr>
            </a:outerShdw>
          </a:effectLst>
          <a:sp3d>
            <a:contourClr>
              <a:schemeClr val="bg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68A85"/>
          </a:solidFill>
          <a:ln>
            <a:solidFill>
              <a:schemeClr val="bg1"/>
            </a:solidFill>
          </a:ln>
          <a:effectLst>
            <a:outerShdw blurRad="63500" dist="25400" dir="2700000" sx="102000" sy="102000" algn="ctr" rotWithShape="0">
              <a:prstClr val="black">
                <a:alpha val="40000"/>
              </a:prstClr>
            </a:outerShdw>
          </a:effectLst>
          <a:sp3d>
            <a:contourClr>
              <a:schemeClr val="bg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68A85"/>
          </a:solidFill>
          <a:ln>
            <a:solidFill>
              <a:schemeClr val="bg1"/>
            </a:solidFill>
          </a:ln>
          <a:effectLst>
            <a:outerShdw blurRad="63500" dist="25400" dir="2700000" sx="102000" sy="102000" algn="ctr" rotWithShape="0">
              <a:prstClr val="black">
                <a:alpha val="40000"/>
              </a:prstClr>
            </a:outerShdw>
          </a:effectLst>
          <a:sp3d>
            <a:contourClr>
              <a:schemeClr val="bg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68A85"/>
          </a:solidFill>
          <a:ln>
            <a:solidFill>
              <a:schemeClr val="bg1"/>
            </a:solidFill>
          </a:ln>
          <a:effectLst>
            <a:outerShdw blurRad="63500" dist="25400" dir="2700000" sx="102000" sy="102000" algn="ctr" rotWithShape="0">
              <a:prstClr val="black">
                <a:alpha val="40000"/>
              </a:prstClr>
            </a:outerShdw>
          </a:effectLst>
          <a:sp3d>
            <a:contourClr>
              <a:schemeClr val="bg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68A85"/>
          </a:solidFill>
          <a:ln>
            <a:solidFill>
              <a:schemeClr val="bg1"/>
            </a:solidFill>
          </a:ln>
          <a:effectLst>
            <a:outerShdw blurRad="63500" dist="25400" dir="2700000" sx="102000" sy="102000" algn="ctr" rotWithShape="0">
              <a:prstClr val="black">
                <a:alpha val="40000"/>
              </a:prstClr>
            </a:outerShdw>
          </a:effectLst>
          <a:sp3d>
            <a:contourClr>
              <a:schemeClr val="bg1"/>
            </a:contourClr>
          </a:sp3d>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6.9247594050743655E-2"/>
          <c:y val="0.17171296296296298"/>
          <c:w val="0.79299759405074366"/>
          <c:h val="0.620184456109653"/>
        </c:manualLayout>
      </c:layout>
      <c:bar3DChart>
        <c:barDir val="col"/>
        <c:grouping val="clustered"/>
        <c:varyColors val="0"/>
        <c:ser>
          <c:idx val="0"/>
          <c:order val="0"/>
          <c:tx>
            <c:strRef>
              <c:f>Color!$C$3</c:f>
              <c:strCache>
                <c:ptCount val="1"/>
                <c:pt idx="0">
                  <c:v>Total</c:v>
                </c:pt>
              </c:strCache>
            </c:strRef>
          </c:tx>
          <c:spPr>
            <a:solidFill>
              <a:srgbClr val="268A85"/>
            </a:solidFill>
            <a:ln>
              <a:solidFill>
                <a:schemeClr val="bg1"/>
              </a:solidFill>
            </a:ln>
            <a:effectLst>
              <a:outerShdw blurRad="63500" dist="25400" dir="2700000" sx="102000" sy="102000" algn="ctr" rotWithShape="0">
                <a:prstClr val="black">
                  <a:alpha val="40000"/>
                </a:prstClr>
              </a:outerShdw>
            </a:effectLst>
            <a:sp3d>
              <a:contourClr>
                <a:schemeClr val="bg1"/>
              </a:contourClr>
            </a:sp3d>
          </c:spPr>
          <c:invertIfNegative val="0"/>
          <c:cat>
            <c:strRef>
              <c:f>Color!$B$4:$B$13</c:f>
              <c:strCache>
                <c:ptCount val="10"/>
                <c:pt idx="0">
                  <c:v>Lime</c:v>
                </c:pt>
                <c:pt idx="1">
                  <c:v>Blue</c:v>
                </c:pt>
                <c:pt idx="2">
                  <c:v>Yellow</c:v>
                </c:pt>
                <c:pt idx="3">
                  <c:v>Pink</c:v>
                </c:pt>
                <c:pt idx="4">
                  <c:v>Turquoise</c:v>
                </c:pt>
                <c:pt idx="5">
                  <c:v>Brown</c:v>
                </c:pt>
                <c:pt idx="6">
                  <c:v>Orange</c:v>
                </c:pt>
                <c:pt idx="7">
                  <c:v>Green</c:v>
                </c:pt>
                <c:pt idx="8">
                  <c:v>Silver</c:v>
                </c:pt>
                <c:pt idx="9">
                  <c:v>Purple</c:v>
                </c:pt>
              </c:strCache>
            </c:strRef>
          </c:cat>
          <c:val>
            <c:numRef>
              <c:f>Color!$C$4:$C$13</c:f>
              <c:numCache>
                <c:formatCode>General</c:formatCode>
                <c:ptCount val="10"/>
                <c:pt idx="0">
                  <c:v>68</c:v>
                </c:pt>
                <c:pt idx="1">
                  <c:v>67</c:v>
                </c:pt>
                <c:pt idx="2">
                  <c:v>66</c:v>
                </c:pt>
                <c:pt idx="3">
                  <c:v>51</c:v>
                </c:pt>
                <c:pt idx="4">
                  <c:v>49</c:v>
                </c:pt>
                <c:pt idx="5">
                  <c:v>45</c:v>
                </c:pt>
                <c:pt idx="6">
                  <c:v>45</c:v>
                </c:pt>
                <c:pt idx="7">
                  <c:v>44</c:v>
                </c:pt>
                <c:pt idx="8">
                  <c:v>40</c:v>
                </c:pt>
                <c:pt idx="9">
                  <c:v>39</c:v>
                </c:pt>
              </c:numCache>
            </c:numRef>
          </c:val>
          <c:extLst>
            <c:ext xmlns:c16="http://schemas.microsoft.com/office/drawing/2014/chart" uri="{C3380CC4-5D6E-409C-BE32-E72D297353CC}">
              <c16:uniqueId val="{00000000-E590-455C-A95F-584A19640196}"/>
            </c:ext>
          </c:extLst>
        </c:ser>
        <c:dLbls>
          <c:showLegendKey val="0"/>
          <c:showVal val="0"/>
          <c:showCatName val="0"/>
          <c:showSerName val="0"/>
          <c:showPercent val="0"/>
          <c:showBubbleSize val="0"/>
        </c:dLbls>
        <c:gapWidth val="80"/>
        <c:shape val="box"/>
        <c:axId val="1594736191"/>
        <c:axId val="1594733279"/>
        <c:axId val="0"/>
      </c:bar3DChart>
      <c:catAx>
        <c:axId val="15947361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594733279"/>
        <c:crosses val="autoZero"/>
        <c:auto val="1"/>
        <c:lblAlgn val="ctr"/>
        <c:lblOffset val="100"/>
        <c:noMultiLvlLbl val="0"/>
      </c:catAx>
      <c:valAx>
        <c:axId val="15947332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594736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a:glow rad="139700">
        <a:schemeClr val="accent3">
          <a:satMod val="175000"/>
          <a:alpha val="40000"/>
        </a:schemeClr>
      </a:glow>
      <a:outerShdw blurRad="63500" dist="25400" dir="2700000" sx="102000" sy="102000" algn="ctr" rotWithShape="0">
        <a:prstClr val="black">
          <a:alpha val="40000"/>
        </a:prstClr>
      </a:outerShdw>
    </a:effectLst>
  </c:spPr>
  <c:txPr>
    <a:bodyPr/>
    <a:lstStyle/>
    <a:p>
      <a:pPr>
        <a:defRPr sz="1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[Car_Sales_Data(final project excel).xlsx]Average Car Condition !PivotTable12</c:name>
    <c:fmtId val="5"/>
  </c:pivotSource>
  <c:chart>
    <c:title>
      <c:tx>
        <c:rich>
          <a:bodyPr rot="0" spcFirstLastPara="1" vertOverflow="ellipsis" vert="horz" wrap="square" anchor="ctr" anchorCtr="1"/>
          <a:lstStyle/>
          <a:p>
            <a:pPr>
              <a:defRPr sz="2160" b="0" i="0" u="none" strike="noStrike" kern="1200" spc="0" baseline="0">
                <a:solidFill>
                  <a:schemeClr val="tx1">
                    <a:lumMod val="65000"/>
                    <a:lumOff val="35000"/>
                  </a:schemeClr>
                </a:solidFill>
                <a:latin typeface="+mn-lt"/>
                <a:ea typeface="+mn-ea"/>
                <a:cs typeface="+mn-cs"/>
              </a:defRPr>
            </a:pPr>
            <a:r>
              <a:rPr lang="en-US"/>
              <a:t>Average Car Condition</a:t>
            </a:r>
          </a:p>
          <a:p>
            <a:pPr>
              <a:defRPr/>
            </a:pPr>
            <a:endParaRPr lang="en-US"/>
          </a:p>
        </c:rich>
      </c:tx>
      <c:overlay val="0"/>
      <c:spPr>
        <a:noFill/>
        <a:ln>
          <a:noFill/>
        </a:ln>
        <a:effectLst/>
      </c:spPr>
      <c:txPr>
        <a:bodyPr rot="0" spcFirstLastPara="1" vertOverflow="ellipsis" vert="horz" wrap="square" anchor="ctr" anchorCtr="1"/>
        <a:lstStyle/>
        <a:p>
          <a:pPr>
            <a:defRPr sz="216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097B19"/>
            </a:solidFill>
            <a:round/>
          </a:ln>
          <a:effectLst>
            <a:outerShdw blurRad="50800" dist="25400" dir="27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97B19"/>
            </a:solidFill>
            <a:round/>
          </a:ln>
          <a:effectLst>
            <a:outerShdw blurRad="50800" dist="25400" dir="27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97B19"/>
            </a:solidFill>
            <a:round/>
          </a:ln>
          <a:effectLst>
            <a:outerShdw blurRad="50800" dist="25400" dir="27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97B19"/>
            </a:solidFill>
            <a:round/>
          </a:ln>
          <a:effectLst>
            <a:outerShdw blurRad="50800" dist="25400" dir="27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097B19"/>
            </a:solidFill>
            <a:round/>
          </a:ln>
          <a:effectLst>
            <a:outerShdw blurRad="50800" dist="25400" dir="2700000" algn="t"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85870516185478"/>
          <c:y val="0.16708333333333336"/>
          <c:w val="0.72196019247594045"/>
          <c:h val="0.68767023913677461"/>
        </c:manualLayout>
      </c:layout>
      <c:lineChart>
        <c:grouping val="standard"/>
        <c:varyColors val="0"/>
        <c:ser>
          <c:idx val="0"/>
          <c:order val="0"/>
          <c:tx>
            <c:strRef>
              <c:f>'Average Car Condition '!$C$3</c:f>
              <c:strCache>
                <c:ptCount val="1"/>
                <c:pt idx="0">
                  <c:v>Total</c:v>
                </c:pt>
              </c:strCache>
            </c:strRef>
          </c:tx>
          <c:spPr>
            <a:ln w="28575" cap="rnd">
              <a:solidFill>
                <a:srgbClr val="097B19"/>
              </a:solidFill>
              <a:round/>
            </a:ln>
            <a:effectLst>
              <a:outerShdw blurRad="50800" dist="25400" dir="2700000" algn="t" rotWithShape="0">
                <a:prstClr val="black">
                  <a:alpha val="40000"/>
                </a:prstClr>
              </a:outerShdw>
            </a:effectLst>
          </c:spPr>
          <c:marker>
            <c:symbol val="none"/>
          </c:marker>
          <c:cat>
            <c:strRef>
              <c:f>'Average Car Condition '!$B$4:$B$38</c:f>
              <c:strCache>
                <c:ptCount val="3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strCache>
            </c:strRef>
          </c:cat>
          <c:val>
            <c:numRef>
              <c:f>'Average Car Condition '!$C$4:$C$38</c:f>
              <c:numCache>
                <c:formatCode>0.00</c:formatCode>
                <c:ptCount val="35"/>
                <c:pt idx="0">
                  <c:v>5.1375000000000002</c:v>
                </c:pt>
                <c:pt idx="1">
                  <c:v>5.866666666666668</c:v>
                </c:pt>
                <c:pt idx="2">
                  <c:v>7.5750000000000002</c:v>
                </c:pt>
                <c:pt idx="3">
                  <c:v>7.625</c:v>
                </c:pt>
                <c:pt idx="4">
                  <c:v>10.059999999999999</c:v>
                </c:pt>
                <c:pt idx="5">
                  <c:v>11.5</c:v>
                </c:pt>
                <c:pt idx="6">
                  <c:v>11.718181818181819</c:v>
                </c:pt>
                <c:pt idx="7">
                  <c:v>12.9625</c:v>
                </c:pt>
                <c:pt idx="8">
                  <c:v>13.366666666666667</c:v>
                </c:pt>
                <c:pt idx="9">
                  <c:v>12.966666666666667</c:v>
                </c:pt>
                <c:pt idx="10">
                  <c:v>15.580000000000002</c:v>
                </c:pt>
                <c:pt idx="11">
                  <c:v>16.79</c:v>
                </c:pt>
                <c:pt idx="12">
                  <c:v>17.32</c:v>
                </c:pt>
                <c:pt idx="13">
                  <c:v>18.108333333333334</c:v>
                </c:pt>
                <c:pt idx="14">
                  <c:v>19.475000000000001</c:v>
                </c:pt>
                <c:pt idx="15">
                  <c:v>22.700000000000003</c:v>
                </c:pt>
                <c:pt idx="16">
                  <c:v>21.472727272727273</c:v>
                </c:pt>
                <c:pt idx="17">
                  <c:v>21.771428571428569</c:v>
                </c:pt>
                <c:pt idx="18">
                  <c:v>23.988888888888891</c:v>
                </c:pt>
                <c:pt idx="19">
                  <c:v>24.990909090909089</c:v>
                </c:pt>
                <c:pt idx="20">
                  <c:v>26.153846153846157</c:v>
                </c:pt>
                <c:pt idx="21">
                  <c:v>27.138461538461538</c:v>
                </c:pt>
                <c:pt idx="22">
                  <c:v>27.266666666666666</c:v>
                </c:pt>
                <c:pt idx="23">
                  <c:v>28.8</c:v>
                </c:pt>
                <c:pt idx="24">
                  <c:v>30.111111111111111</c:v>
                </c:pt>
                <c:pt idx="25">
                  <c:v>31.166666666666671</c:v>
                </c:pt>
                <c:pt idx="26">
                  <c:v>29.98</c:v>
                </c:pt>
                <c:pt idx="27">
                  <c:v>32.019999999999996</c:v>
                </c:pt>
                <c:pt idx="28">
                  <c:v>33.636363636363633</c:v>
                </c:pt>
                <c:pt idx="29">
                  <c:v>35.216666666666669</c:v>
                </c:pt>
                <c:pt idx="30">
                  <c:v>36.866666666666667</c:v>
                </c:pt>
                <c:pt idx="31">
                  <c:v>35.114285714285714</c:v>
                </c:pt>
                <c:pt idx="32">
                  <c:v>38.700000000000003</c:v>
                </c:pt>
                <c:pt idx="33">
                  <c:v>38.577777777777776</c:v>
                </c:pt>
                <c:pt idx="34">
                  <c:v>39.200000000000003</c:v>
                </c:pt>
              </c:numCache>
            </c:numRef>
          </c:val>
          <c:smooth val="1"/>
          <c:extLst>
            <c:ext xmlns:c16="http://schemas.microsoft.com/office/drawing/2014/chart" uri="{C3380CC4-5D6E-409C-BE32-E72D297353CC}">
              <c16:uniqueId val="{00000000-1C9D-4F12-A1B7-20739E45B03D}"/>
            </c:ext>
          </c:extLst>
        </c:ser>
        <c:dLbls>
          <c:showLegendKey val="0"/>
          <c:showVal val="0"/>
          <c:showCatName val="0"/>
          <c:showSerName val="0"/>
          <c:showPercent val="0"/>
          <c:showBubbleSize val="0"/>
        </c:dLbls>
        <c:smooth val="0"/>
        <c:axId val="324263967"/>
        <c:axId val="324263551"/>
      </c:lineChart>
      <c:catAx>
        <c:axId val="32426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324263551"/>
        <c:crosses val="autoZero"/>
        <c:auto val="1"/>
        <c:lblAlgn val="ctr"/>
        <c:lblOffset val="100"/>
        <c:noMultiLvlLbl val="0"/>
      </c:catAx>
      <c:valAx>
        <c:axId val="32426355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32426396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097B19"/>
      </a:solidFill>
      <a:round/>
    </a:ln>
    <a:effectLst>
      <a:glow rad="139700">
        <a:schemeClr val="accent3">
          <a:satMod val="175000"/>
          <a:alpha val="40000"/>
        </a:schemeClr>
      </a:glow>
      <a:outerShdw blurRad="50800" dist="25400" dir="2700000" algn="t" rotWithShape="0">
        <a:prstClr val="black">
          <a:alpha val="40000"/>
        </a:prstClr>
      </a:outerShdw>
    </a:effectLst>
  </c:spPr>
  <c:txPr>
    <a:bodyPr/>
    <a:lstStyle/>
    <a:p>
      <a:pPr>
        <a:defRPr sz="1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[Car_Sales_Data(final project excel).xlsx]Body Type !PivotTable13</c:name>
    <c:fmtId val="19"/>
  </c:pivotSource>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Most Common Body Type </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C948E"/>
          </a:solidFill>
          <a:ln>
            <a:solidFill>
              <a:srgbClr val="097B19"/>
            </a:solidFill>
          </a:ln>
          <a:effectLst>
            <a:outerShdw blurRad="63500" sx="102000" sy="102000" algn="ctr" rotWithShape="0">
              <a:prstClr val="black">
                <a:alpha val="40000"/>
              </a:prstClr>
            </a:outerShdw>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C948E"/>
          </a:solidFill>
          <a:ln>
            <a:solidFill>
              <a:srgbClr val="097B19"/>
            </a:solidFill>
          </a:ln>
          <a:effectLst>
            <a:outerShdw blurRad="63500" sx="102000" sy="102000" algn="ctr" rotWithShape="0">
              <a:prstClr val="black">
                <a:alpha val="40000"/>
              </a:prstClr>
            </a:outerShdw>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C948E"/>
          </a:solidFill>
          <a:ln>
            <a:solidFill>
              <a:srgbClr val="097B19"/>
            </a:solidFill>
          </a:ln>
          <a:effectLst>
            <a:outerShdw blurRad="63500" sx="102000" sy="102000" algn="ctr" rotWithShape="0">
              <a:prstClr val="black">
                <a:alpha val="40000"/>
              </a:prstClr>
            </a:outerShdw>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C948E"/>
          </a:solidFill>
          <a:ln>
            <a:solidFill>
              <a:srgbClr val="097B19"/>
            </a:solidFill>
          </a:ln>
          <a:effectLst>
            <a:outerShdw blurRad="63500" sx="102000" sy="102000" algn="ctr" rotWithShape="0">
              <a:prstClr val="black">
                <a:alpha val="40000"/>
              </a:prstClr>
            </a:outerShdw>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C948E"/>
          </a:solidFill>
          <a:ln>
            <a:solidFill>
              <a:srgbClr val="097B19"/>
            </a:solidFill>
          </a:ln>
          <a:effectLst>
            <a:outerShdw blurRad="63500" sx="102000" sy="102000" algn="ctr" rotWithShape="0">
              <a:prstClr val="black">
                <a:alpha val="40000"/>
              </a:prstClr>
            </a:outerShdw>
            <a:softEdge rad="12700"/>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12621782005757"/>
          <c:y val="0.15319444444444447"/>
          <c:w val="0.81351329952534213"/>
          <c:h val="0.72125801983085447"/>
        </c:manualLayout>
      </c:layout>
      <c:barChart>
        <c:barDir val="bar"/>
        <c:grouping val="stacked"/>
        <c:varyColors val="0"/>
        <c:ser>
          <c:idx val="0"/>
          <c:order val="0"/>
          <c:tx>
            <c:strRef>
              <c:f>'Body Type '!$C$3</c:f>
              <c:strCache>
                <c:ptCount val="1"/>
                <c:pt idx="0">
                  <c:v>Total</c:v>
                </c:pt>
              </c:strCache>
            </c:strRef>
          </c:tx>
          <c:spPr>
            <a:solidFill>
              <a:srgbClr val="1C948E"/>
            </a:solidFill>
            <a:ln>
              <a:solidFill>
                <a:srgbClr val="097B19"/>
              </a:solidFill>
            </a:ln>
            <a:effectLst>
              <a:outerShdw blurRad="63500" sx="102000" sy="102000" algn="ctr" rotWithShape="0">
                <a:prstClr val="black">
                  <a:alpha val="40000"/>
                </a:prstClr>
              </a:outerShdw>
              <a:softEdge rad="12700"/>
            </a:effectLst>
          </c:spPr>
          <c:invertIfNegative val="0"/>
          <c:cat>
            <c:strRef>
              <c:f>'Body Type '!$B$4:$B$13</c:f>
              <c:strCache>
                <c:ptCount val="10"/>
                <c:pt idx="0">
                  <c:v>G Sedan</c:v>
                </c:pt>
                <c:pt idx="1">
                  <c:v>Coupe</c:v>
                </c:pt>
                <c:pt idx="2">
                  <c:v>Crew Cab</c:v>
                </c:pt>
                <c:pt idx="3">
                  <c:v>Wagon</c:v>
                </c:pt>
                <c:pt idx="4">
                  <c:v>Hatchback</c:v>
                </c:pt>
                <c:pt idx="5">
                  <c:v>Sedan</c:v>
                </c:pt>
                <c:pt idx="6">
                  <c:v>Convertible</c:v>
                </c:pt>
                <c:pt idx="7">
                  <c:v>SuperCrew</c:v>
                </c:pt>
                <c:pt idx="8">
                  <c:v>Minivan</c:v>
                </c:pt>
                <c:pt idx="9">
                  <c:v>SUV</c:v>
                </c:pt>
              </c:strCache>
            </c:strRef>
          </c:cat>
          <c:val>
            <c:numRef>
              <c:f>'Body Type '!$C$4:$C$13</c:f>
              <c:numCache>
                <c:formatCode>General</c:formatCode>
                <c:ptCount val="10"/>
                <c:pt idx="0">
                  <c:v>100</c:v>
                </c:pt>
                <c:pt idx="1">
                  <c:v>97</c:v>
                </c:pt>
                <c:pt idx="2">
                  <c:v>83</c:v>
                </c:pt>
                <c:pt idx="3">
                  <c:v>82</c:v>
                </c:pt>
                <c:pt idx="4">
                  <c:v>79</c:v>
                </c:pt>
                <c:pt idx="5">
                  <c:v>73</c:v>
                </c:pt>
                <c:pt idx="6">
                  <c:v>72</c:v>
                </c:pt>
                <c:pt idx="7">
                  <c:v>66</c:v>
                </c:pt>
                <c:pt idx="8">
                  <c:v>65</c:v>
                </c:pt>
                <c:pt idx="9">
                  <c:v>60</c:v>
                </c:pt>
              </c:numCache>
            </c:numRef>
          </c:val>
          <c:extLst>
            <c:ext xmlns:c16="http://schemas.microsoft.com/office/drawing/2014/chart" uri="{C3380CC4-5D6E-409C-BE32-E72D297353CC}">
              <c16:uniqueId val="{00000000-FAFF-4327-9562-391C6BBF7167}"/>
            </c:ext>
          </c:extLst>
        </c:ser>
        <c:dLbls>
          <c:showLegendKey val="0"/>
          <c:showVal val="0"/>
          <c:showCatName val="0"/>
          <c:showSerName val="0"/>
          <c:showPercent val="0"/>
          <c:showBubbleSize val="0"/>
        </c:dLbls>
        <c:gapWidth val="80"/>
        <c:overlap val="100"/>
        <c:axId val="502109823"/>
        <c:axId val="502111071"/>
      </c:barChart>
      <c:catAx>
        <c:axId val="502109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502111071"/>
        <c:crosses val="autoZero"/>
        <c:auto val="1"/>
        <c:lblAlgn val="ctr"/>
        <c:lblOffset val="100"/>
        <c:noMultiLvlLbl val="0"/>
      </c:catAx>
      <c:valAx>
        <c:axId val="5021110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502109823"/>
        <c:crosses val="autoZero"/>
        <c:crossBetween val="between"/>
      </c:valAx>
      <c:spPr>
        <a:noFill/>
        <a:ln>
          <a:solidFill>
            <a:schemeClr val="bg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139700">
        <a:schemeClr val="accent6">
          <a:satMod val="175000"/>
          <a:alpha val="40000"/>
        </a:schemeClr>
      </a:glow>
      <a:outerShdw blurRad="63500" dist="25400" dir="2700000" sx="102000" sy="102000" algn="ctr" rotWithShape="0">
        <a:prstClr val="black">
          <a:alpha val="40000"/>
        </a:prstClr>
      </a:outerShdw>
      <a:softEdge rad="31750"/>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[Car_Sales_Data(final project excel).xlsx]Sales by Date !PivotTable14</c:name>
    <c:fmtId val="5"/>
  </c:pivotSource>
  <c:chart>
    <c:title>
      <c:tx>
        <c:rich>
          <a:bodyPr rot="0" spcFirstLastPara="1" vertOverflow="ellipsis" vert="horz" wrap="square" anchor="ctr" anchorCtr="1"/>
          <a:lstStyle/>
          <a:p>
            <a:pPr>
              <a:defRPr sz="2160" b="0" i="0" u="none" strike="noStrike" kern="1200" spc="0" baseline="0">
                <a:solidFill>
                  <a:schemeClr val="tx1">
                    <a:lumMod val="65000"/>
                    <a:lumOff val="35000"/>
                  </a:schemeClr>
                </a:solidFill>
                <a:latin typeface="+mn-lt"/>
                <a:ea typeface="+mn-ea"/>
                <a:cs typeface="+mn-cs"/>
              </a:defRPr>
            </a:pPr>
            <a:r>
              <a:rPr lang="en-US"/>
              <a:t>Cars Sales Trend</a:t>
            </a:r>
          </a:p>
        </c:rich>
      </c:tx>
      <c:overlay val="0"/>
      <c:spPr>
        <a:noFill/>
        <a:ln>
          <a:noFill/>
        </a:ln>
        <a:effectLst/>
      </c:spPr>
      <c:txPr>
        <a:bodyPr rot="0" spcFirstLastPara="1" vertOverflow="ellipsis" vert="horz" wrap="square" anchor="ctr" anchorCtr="1"/>
        <a:lstStyle/>
        <a:p>
          <a:pPr>
            <a:defRPr sz="216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13A09D"/>
            </a:solidFill>
            <a:round/>
          </a:ln>
          <a:effectLst>
            <a:outerShdw blurRad="63500" dist="25400" dir="27000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13A09D"/>
            </a:solidFill>
            <a:round/>
          </a:ln>
          <a:effectLst>
            <a:outerShdw blurRad="63500" dist="25400" dir="27000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13A09D"/>
            </a:solidFill>
            <a:round/>
          </a:ln>
          <a:effectLst>
            <a:outerShdw blurRad="63500" dist="25400" dir="27000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13A09D"/>
            </a:solidFill>
            <a:round/>
          </a:ln>
          <a:effectLst>
            <a:outerShdw blurRad="63500" dist="25400" dir="27000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13A09D"/>
            </a:solidFill>
            <a:round/>
          </a:ln>
          <a:effectLst>
            <a:outerShdw blurRad="63500" dist="25400" dir="27000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Date '!$C$3</c:f>
              <c:strCache>
                <c:ptCount val="1"/>
                <c:pt idx="0">
                  <c:v>Total</c:v>
                </c:pt>
              </c:strCache>
            </c:strRef>
          </c:tx>
          <c:spPr>
            <a:ln w="28575" cap="rnd">
              <a:solidFill>
                <a:srgbClr val="13A09D"/>
              </a:solidFill>
              <a:round/>
            </a:ln>
            <a:effectLst>
              <a:outerShdw blurRad="63500" dist="25400" dir="2700000" sx="102000" sy="102000" algn="ctr" rotWithShape="0">
                <a:prstClr val="black">
                  <a:alpha val="40000"/>
                </a:prstClr>
              </a:outerShdw>
            </a:effectLst>
          </c:spPr>
          <c:marker>
            <c:symbol val="none"/>
          </c:marker>
          <c:cat>
            <c:strRef>
              <c:f>'Sales by Date '!$B$4:$B$15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Date '!$C$4:$C$15</c:f>
              <c:numCache>
                <c:formatCode>_("$"* #,##0_);_("$"* \(#,##0\);_("$"* "-"??_);_(@_)</c:formatCode>
                <c:ptCount val="12"/>
                <c:pt idx="0">
                  <c:v>4985000</c:v>
                </c:pt>
                <c:pt idx="1">
                  <c:v>3738000</c:v>
                </c:pt>
                <c:pt idx="2">
                  <c:v>2687000</c:v>
                </c:pt>
                <c:pt idx="3">
                  <c:v>2938000</c:v>
                </c:pt>
                <c:pt idx="4">
                  <c:v>4901000</c:v>
                </c:pt>
                <c:pt idx="5">
                  <c:v>3326000</c:v>
                </c:pt>
                <c:pt idx="6">
                  <c:v>5312000</c:v>
                </c:pt>
                <c:pt idx="7">
                  <c:v>4190000</c:v>
                </c:pt>
                <c:pt idx="8">
                  <c:v>3740000</c:v>
                </c:pt>
                <c:pt idx="9">
                  <c:v>4871000</c:v>
                </c:pt>
                <c:pt idx="10">
                  <c:v>3220000</c:v>
                </c:pt>
                <c:pt idx="11">
                  <c:v>4194000</c:v>
                </c:pt>
              </c:numCache>
            </c:numRef>
          </c:val>
          <c:smooth val="1"/>
          <c:extLst>
            <c:ext xmlns:c16="http://schemas.microsoft.com/office/drawing/2014/chart" uri="{C3380CC4-5D6E-409C-BE32-E72D297353CC}">
              <c16:uniqueId val="{00000000-3D21-4B3C-A535-D1B6F0D35D42}"/>
            </c:ext>
          </c:extLst>
        </c:ser>
        <c:dLbls>
          <c:showLegendKey val="0"/>
          <c:showVal val="0"/>
          <c:showCatName val="0"/>
          <c:showSerName val="0"/>
          <c:showPercent val="0"/>
          <c:showBubbleSize val="0"/>
        </c:dLbls>
        <c:smooth val="0"/>
        <c:axId val="950965663"/>
        <c:axId val="950970239"/>
      </c:lineChart>
      <c:catAx>
        <c:axId val="950965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950970239"/>
        <c:crosses val="autoZero"/>
        <c:auto val="1"/>
        <c:lblAlgn val="ctr"/>
        <c:lblOffset val="100"/>
        <c:noMultiLvlLbl val="0"/>
      </c:catAx>
      <c:valAx>
        <c:axId val="950970239"/>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950965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13A09D"/>
      </a:solidFill>
      <a:round/>
    </a:ln>
    <a:effectLst>
      <a:glow rad="139700">
        <a:schemeClr val="accent3">
          <a:satMod val="175000"/>
          <a:alpha val="40000"/>
        </a:schemeClr>
      </a:glow>
      <a:outerShdw blurRad="63500" dist="25400" dir="2700000" sx="102000" sy="102000" algn="ctr" rotWithShape="0">
        <a:prstClr val="black">
          <a:alpha val="40000"/>
        </a:prstClr>
      </a:outerShdw>
    </a:effectLst>
  </c:spPr>
  <c:txPr>
    <a:bodyPr/>
    <a:lstStyle/>
    <a:p>
      <a:pPr>
        <a:defRPr sz="1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[Car_Sales_Data(final project excel).xlsx]Highest Chart!PivotTable5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Car</a:t>
            </a:r>
            <a:r>
              <a:rPr lang="en-US" baseline="0"/>
              <a:t> Brands by Highest Sales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68A85"/>
          </a:solidFill>
          <a:ln>
            <a:solidFill>
              <a:schemeClr val="bg1"/>
            </a:solidFill>
          </a:ln>
          <a:effectLst>
            <a:innerShdw blurRad="63500" dist="50800" dir="162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60892388451445"/>
          <c:y val="0.17171296296296298"/>
          <c:w val="0.80461329833770778"/>
          <c:h val="0.55423665791776033"/>
        </c:manualLayout>
      </c:layout>
      <c:barChart>
        <c:barDir val="col"/>
        <c:grouping val="stacked"/>
        <c:varyColors val="0"/>
        <c:ser>
          <c:idx val="0"/>
          <c:order val="0"/>
          <c:tx>
            <c:strRef>
              <c:f>'Highest Chart'!$C$2</c:f>
              <c:strCache>
                <c:ptCount val="1"/>
                <c:pt idx="0">
                  <c:v>Total</c:v>
                </c:pt>
              </c:strCache>
            </c:strRef>
          </c:tx>
          <c:spPr>
            <a:solidFill>
              <a:srgbClr val="268A85"/>
            </a:solidFill>
            <a:ln>
              <a:solidFill>
                <a:schemeClr val="bg1"/>
              </a:solidFill>
            </a:ln>
            <a:effectLst>
              <a:innerShdw blurRad="63500" dist="50800" dir="16200000">
                <a:prstClr val="black">
                  <a:alpha val="50000"/>
                </a:prstClr>
              </a:innerShdw>
            </a:effectLst>
          </c:spPr>
          <c:invertIfNegative val="0"/>
          <c:cat>
            <c:strRef>
              <c:f>'Highest Chart'!$B$3:$B$25</c:f>
              <c:strCache>
                <c:ptCount val="23"/>
                <c:pt idx="0">
                  <c:v>Ferrari</c:v>
                </c:pt>
                <c:pt idx="1">
                  <c:v>Lamborghini</c:v>
                </c:pt>
                <c:pt idx="2">
                  <c:v>Rolls Royce</c:v>
                </c:pt>
                <c:pt idx="3">
                  <c:v>Tesla</c:v>
                </c:pt>
                <c:pt idx="4">
                  <c:v>Bentley</c:v>
                </c:pt>
                <c:pt idx="5">
                  <c:v>Aston Martin</c:v>
                </c:pt>
                <c:pt idx="6">
                  <c:v>Mercedes-Benz</c:v>
                </c:pt>
                <c:pt idx="7">
                  <c:v>Lexus</c:v>
                </c:pt>
                <c:pt idx="8">
                  <c:v>Nissan</c:v>
                </c:pt>
                <c:pt idx="9">
                  <c:v>Lotus</c:v>
                </c:pt>
                <c:pt idx="10">
                  <c:v>BMW</c:v>
                </c:pt>
                <c:pt idx="11">
                  <c:v>Maserati</c:v>
                </c:pt>
                <c:pt idx="12">
                  <c:v>Toyota</c:v>
                </c:pt>
                <c:pt idx="13">
                  <c:v>Fisker</c:v>
                </c:pt>
                <c:pt idx="14">
                  <c:v>Honda</c:v>
                </c:pt>
                <c:pt idx="15">
                  <c:v>Ford</c:v>
                </c:pt>
                <c:pt idx="16">
                  <c:v>Infiniti</c:v>
                </c:pt>
                <c:pt idx="17">
                  <c:v>Kia</c:v>
                </c:pt>
                <c:pt idx="18">
                  <c:v>Hyundai</c:v>
                </c:pt>
                <c:pt idx="19">
                  <c:v>Dodge</c:v>
                </c:pt>
                <c:pt idx="20">
                  <c:v>Chrysler</c:v>
                </c:pt>
                <c:pt idx="21">
                  <c:v>Porsche</c:v>
                </c:pt>
                <c:pt idx="22">
                  <c:v>Chevrolet</c:v>
                </c:pt>
              </c:strCache>
            </c:strRef>
          </c:cat>
          <c:val>
            <c:numRef>
              <c:f>'Highest Chart'!$C$3:$C$25</c:f>
              <c:numCache>
                <c:formatCode>_("$"* #,##0_);_("$"* \(#,##0\);_("$"* "-"??_);_(@_)</c:formatCode>
                <c:ptCount val="23"/>
                <c:pt idx="0">
                  <c:v>6880000</c:v>
                </c:pt>
                <c:pt idx="1">
                  <c:v>6580000</c:v>
                </c:pt>
                <c:pt idx="2">
                  <c:v>5040000</c:v>
                </c:pt>
                <c:pt idx="3">
                  <c:v>4400000</c:v>
                </c:pt>
                <c:pt idx="4">
                  <c:v>2640000</c:v>
                </c:pt>
                <c:pt idx="5">
                  <c:v>2240000</c:v>
                </c:pt>
                <c:pt idx="6">
                  <c:v>1980000</c:v>
                </c:pt>
                <c:pt idx="7">
                  <c:v>1927000</c:v>
                </c:pt>
                <c:pt idx="8">
                  <c:v>1876000</c:v>
                </c:pt>
                <c:pt idx="9">
                  <c:v>1750000</c:v>
                </c:pt>
                <c:pt idx="10">
                  <c:v>1500000</c:v>
                </c:pt>
                <c:pt idx="11">
                  <c:v>1430000</c:v>
                </c:pt>
                <c:pt idx="12">
                  <c:v>1421000</c:v>
                </c:pt>
                <c:pt idx="13">
                  <c:v>1320000</c:v>
                </c:pt>
                <c:pt idx="14">
                  <c:v>1092000</c:v>
                </c:pt>
                <c:pt idx="15">
                  <c:v>1050000</c:v>
                </c:pt>
                <c:pt idx="16">
                  <c:v>945000</c:v>
                </c:pt>
                <c:pt idx="17">
                  <c:v>782000</c:v>
                </c:pt>
                <c:pt idx="18">
                  <c:v>768000</c:v>
                </c:pt>
                <c:pt idx="19">
                  <c:v>702000</c:v>
                </c:pt>
                <c:pt idx="20">
                  <c:v>675000</c:v>
                </c:pt>
                <c:pt idx="21">
                  <c:v>624000</c:v>
                </c:pt>
                <c:pt idx="22">
                  <c:v>480000</c:v>
                </c:pt>
              </c:numCache>
            </c:numRef>
          </c:val>
          <c:extLst>
            <c:ext xmlns:c16="http://schemas.microsoft.com/office/drawing/2014/chart" uri="{C3380CC4-5D6E-409C-BE32-E72D297353CC}">
              <c16:uniqueId val="{00000000-C2BF-455C-9C6F-160A4F5C0B4A}"/>
            </c:ext>
          </c:extLst>
        </c:ser>
        <c:dLbls>
          <c:showLegendKey val="0"/>
          <c:showVal val="0"/>
          <c:showCatName val="0"/>
          <c:showSerName val="0"/>
          <c:showPercent val="0"/>
          <c:showBubbleSize val="0"/>
        </c:dLbls>
        <c:gapWidth val="80"/>
        <c:overlap val="100"/>
        <c:axId val="880483279"/>
        <c:axId val="880484527"/>
      </c:barChart>
      <c:catAx>
        <c:axId val="880483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484527"/>
        <c:crosses val="autoZero"/>
        <c:auto val="1"/>
        <c:lblAlgn val="ctr"/>
        <c:lblOffset val="100"/>
        <c:noMultiLvlLbl val="0"/>
      </c:catAx>
      <c:valAx>
        <c:axId val="880484527"/>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483279"/>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139700">
        <a:schemeClr val="accent3">
          <a:satMod val="175000"/>
          <a:alpha val="40000"/>
        </a:schemeClr>
      </a:glow>
      <a:outerShdw blurRad="50800" dist="38100" algn="l" rotWithShape="0">
        <a:prstClr val="black">
          <a:alpha val="40000"/>
        </a:prstClr>
      </a:outerShd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[Car_Sales_Data(final project excel).xlsx]Most Expensive Car !PivotTable6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Expensive Car Brands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68A85"/>
          </a:solidFill>
          <a:ln>
            <a:solidFill>
              <a:schemeClr val="bg1"/>
            </a:solidFill>
          </a:ln>
          <a:effectLst>
            <a:outerShdw blurRad="63500" sx="102000" sy="102000" algn="ctr" rotWithShape="0">
              <a:prstClr val="black">
                <a:alpha val="40000"/>
              </a:prstClr>
            </a:outerShdw>
          </a:effectLst>
          <a:sp3d>
            <a:contourClr>
              <a:schemeClr val="bg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0.1190717815586403"/>
          <c:y val="0.13278145695364241"/>
          <c:w val="0.85595092507169579"/>
          <c:h val="0.64575098642471018"/>
        </c:manualLayout>
      </c:layout>
      <c:bar3DChart>
        <c:barDir val="col"/>
        <c:grouping val="stacked"/>
        <c:varyColors val="0"/>
        <c:ser>
          <c:idx val="0"/>
          <c:order val="0"/>
          <c:tx>
            <c:strRef>
              <c:f>'Most Expensive Car '!$C$2</c:f>
              <c:strCache>
                <c:ptCount val="1"/>
                <c:pt idx="0">
                  <c:v>Total</c:v>
                </c:pt>
              </c:strCache>
            </c:strRef>
          </c:tx>
          <c:spPr>
            <a:solidFill>
              <a:srgbClr val="268A85"/>
            </a:solidFill>
            <a:ln>
              <a:solidFill>
                <a:schemeClr val="bg1"/>
              </a:solidFill>
            </a:ln>
            <a:effectLst>
              <a:outerShdw blurRad="63500" sx="102000" sy="102000" algn="ctr" rotWithShape="0">
                <a:prstClr val="black">
                  <a:alpha val="40000"/>
                </a:prstClr>
              </a:outerShdw>
            </a:effectLst>
            <a:sp3d>
              <a:contourClr>
                <a:schemeClr val="bg1"/>
              </a:contourClr>
            </a:sp3d>
          </c:spPr>
          <c:invertIfNegative val="0"/>
          <c:cat>
            <c:strRef>
              <c:f>'Most Expensive Car '!$B$3:$B$12</c:f>
              <c:strCache>
                <c:ptCount val="10"/>
                <c:pt idx="0">
                  <c:v>Rolls Royce</c:v>
                </c:pt>
                <c:pt idx="1">
                  <c:v>Ferrari</c:v>
                </c:pt>
                <c:pt idx="2">
                  <c:v>Lamborghini</c:v>
                </c:pt>
                <c:pt idx="3">
                  <c:v>Bentley</c:v>
                </c:pt>
                <c:pt idx="4">
                  <c:v>Tesla</c:v>
                </c:pt>
                <c:pt idx="5">
                  <c:v>Aston Martin</c:v>
                </c:pt>
                <c:pt idx="6">
                  <c:v>Maserati</c:v>
                </c:pt>
                <c:pt idx="7">
                  <c:v>Fisker</c:v>
                </c:pt>
                <c:pt idx="8">
                  <c:v>Lotus</c:v>
                </c:pt>
                <c:pt idx="9">
                  <c:v>Mercedes-Benz</c:v>
                </c:pt>
              </c:strCache>
            </c:strRef>
          </c:cat>
          <c:val>
            <c:numRef>
              <c:f>'Most Expensive Car '!$C$3:$C$12</c:f>
              <c:numCache>
                <c:formatCode>_("$"* #,##0_);_("$"* \(#,##0\);_("$"* "-"??_);_(@_)</c:formatCode>
                <c:ptCount val="10"/>
                <c:pt idx="0">
                  <c:v>560000</c:v>
                </c:pt>
                <c:pt idx="1">
                  <c:v>529230.76923076925</c:v>
                </c:pt>
                <c:pt idx="2">
                  <c:v>470000</c:v>
                </c:pt>
                <c:pt idx="3">
                  <c:v>330000</c:v>
                </c:pt>
                <c:pt idx="4">
                  <c:v>275000</c:v>
                </c:pt>
                <c:pt idx="5">
                  <c:v>224000</c:v>
                </c:pt>
                <c:pt idx="6">
                  <c:v>204285.71428571429</c:v>
                </c:pt>
                <c:pt idx="7">
                  <c:v>188571.42857142858</c:v>
                </c:pt>
                <c:pt idx="8">
                  <c:v>159090.90909090909</c:v>
                </c:pt>
                <c:pt idx="9">
                  <c:v>152307.69230769231</c:v>
                </c:pt>
              </c:numCache>
            </c:numRef>
          </c:val>
          <c:extLst>
            <c:ext xmlns:c16="http://schemas.microsoft.com/office/drawing/2014/chart" uri="{C3380CC4-5D6E-409C-BE32-E72D297353CC}">
              <c16:uniqueId val="{00000000-6195-4182-BB59-72567B787656}"/>
            </c:ext>
          </c:extLst>
        </c:ser>
        <c:dLbls>
          <c:showLegendKey val="0"/>
          <c:showVal val="0"/>
          <c:showCatName val="0"/>
          <c:showSerName val="0"/>
          <c:showPercent val="0"/>
          <c:showBubbleSize val="0"/>
        </c:dLbls>
        <c:gapWidth val="80"/>
        <c:shape val="box"/>
        <c:axId val="950968991"/>
        <c:axId val="950980223"/>
        <c:axId val="0"/>
      </c:bar3DChart>
      <c:catAx>
        <c:axId val="9509689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980223"/>
        <c:crosses val="autoZero"/>
        <c:auto val="1"/>
        <c:lblAlgn val="ctr"/>
        <c:lblOffset val="100"/>
        <c:noMultiLvlLbl val="0"/>
      </c:catAx>
      <c:valAx>
        <c:axId val="950980223"/>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968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alpha val="97000"/>
        </a:schemeClr>
      </a:solidFill>
      <a:round/>
    </a:ln>
    <a:effectLst>
      <a:glow rad="101600">
        <a:schemeClr val="accent3">
          <a:satMod val="175000"/>
          <a:alpha val="40000"/>
        </a:schemeClr>
      </a:glo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[Car_Sales_Data(final project excel).xlsx]Volume of Cars Sold!PivotTable7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Brands by Number of Cars Sold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68A85"/>
          </a:solidFill>
          <a:ln>
            <a:noFill/>
          </a:ln>
          <a:effectLst>
            <a:outerShdw blurRad="63500" dist="25400" dir="27000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68A85"/>
          </a:solidFill>
          <a:ln>
            <a:noFill/>
          </a:ln>
          <a:effectLst>
            <a:outerShdw blurRad="63500" dist="25400" dir="2700000" sx="102000" sy="102000" algn="ctr" rotWithShape="0">
              <a:prstClr val="black">
                <a:alpha val="40000"/>
              </a:prstClr>
            </a:outerShdw>
          </a:effectLst>
        </c:spPr>
      </c:pivotFmt>
    </c:pivotFmts>
    <c:plotArea>
      <c:layout/>
      <c:barChart>
        <c:barDir val="col"/>
        <c:grouping val="clustered"/>
        <c:varyColors val="0"/>
        <c:ser>
          <c:idx val="0"/>
          <c:order val="0"/>
          <c:tx>
            <c:strRef>
              <c:f>'Volume of Cars Sold'!$C$2</c:f>
              <c:strCache>
                <c:ptCount val="1"/>
                <c:pt idx="0">
                  <c:v>Total</c:v>
                </c:pt>
              </c:strCache>
            </c:strRef>
          </c:tx>
          <c:spPr>
            <a:solidFill>
              <a:srgbClr val="268A85"/>
            </a:solidFill>
            <a:ln>
              <a:noFill/>
            </a:ln>
            <a:effectLst>
              <a:outerShdw blurRad="63500" dist="25400" dir="2700000" sx="102000" sy="102000" algn="ctr" rotWithShape="0">
                <a:prstClr val="black">
                  <a:alpha val="40000"/>
                </a:prstClr>
              </a:outerShdw>
            </a:effectLst>
          </c:spPr>
          <c:invertIfNegative val="0"/>
          <c:cat>
            <c:strRef>
              <c:f>'Volume of Cars Sold'!$B$3:$B$25</c:f>
              <c:strCache>
                <c:ptCount val="23"/>
                <c:pt idx="0">
                  <c:v>Nissan</c:v>
                </c:pt>
                <c:pt idx="1">
                  <c:v>Tesla</c:v>
                </c:pt>
                <c:pt idx="2">
                  <c:v>Toyota</c:v>
                </c:pt>
                <c:pt idx="3">
                  <c:v>Lamborghini</c:v>
                </c:pt>
                <c:pt idx="4">
                  <c:v>Ferrari</c:v>
                </c:pt>
                <c:pt idx="5">
                  <c:v>Honda</c:v>
                </c:pt>
                <c:pt idx="6">
                  <c:v>Lexus</c:v>
                </c:pt>
                <c:pt idx="7">
                  <c:v>Mercedes-Benz</c:v>
                </c:pt>
                <c:pt idx="8">
                  <c:v>Lotus</c:v>
                </c:pt>
                <c:pt idx="9">
                  <c:v>Ford</c:v>
                </c:pt>
                <c:pt idx="10">
                  <c:v>Kia</c:v>
                </c:pt>
                <c:pt idx="11">
                  <c:v>Aston Martin</c:v>
                </c:pt>
                <c:pt idx="12">
                  <c:v>Hyundai</c:v>
                </c:pt>
                <c:pt idx="13">
                  <c:v>BMW</c:v>
                </c:pt>
                <c:pt idx="14">
                  <c:v>Rolls Royce</c:v>
                </c:pt>
                <c:pt idx="15">
                  <c:v>Chrysler</c:v>
                </c:pt>
                <c:pt idx="16">
                  <c:v>Dodge</c:v>
                </c:pt>
                <c:pt idx="17">
                  <c:v>Maserati</c:v>
                </c:pt>
                <c:pt idx="18">
                  <c:v>Fisker</c:v>
                </c:pt>
                <c:pt idx="19">
                  <c:v>Bentley</c:v>
                </c:pt>
                <c:pt idx="20">
                  <c:v>Infiniti</c:v>
                </c:pt>
                <c:pt idx="21">
                  <c:v>Chevrolet</c:v>
                </c:pt>
                <c:pt idx="22">
                  <c:v>Porsche</c:v>
                </c:pt>
              </c:strCache>
            </c:strRef>
          </c:cat>
          <c:val>
            <c:numRef>
              <c:f>'Volume of Cars Sold'!$C$3:$C$25</c:f>
              <c:numCache>
                <c:formatCode>General</c:formatCode>
                <c:ptCount val="23"/>
                <c:pt idx="0">
                  <c:v>67</c:v>
                </c:pt>
                <c:pt idx="1">
                  <c:v>55</c:v>
                </c:pt>
                <c:pt idx="2">
                  <c:v>49</c:v>
                </c:pt>
                <c:pt idx="3">
                  <c:v>47</c:v>
                </c:pt>
                <c:pt idx="4">
                  <c:v>43</c:v>
                </c:pt>
                <c:pt idx="5">
                  <c:v>42</c:v>
                </c:pt>
                <c:pt idx="6">
                  <c:v>41</c:v>
                </c:pt>
                <c:pt idx="7">
                  <c:v>36</c:v>
                </c:pt>
                <c:pt idx="8">
                  <c:v>35</c:v>
                </c:pt>
                <c:pt idx="9">
                  <c:v>35</c:v>
                </c:pt>
                <c:pt idx="10">
                  <c:v>34</c:v>
                </c:pt>
                <c:pt idx="11">
                  <c:v>32</c:v>
                </c:pt>
                <c:pt idx="12">
                  <c:v>32</c:v>
                </c:pt>
                <c:pt idx="13">
                  <c:v>30</c:v>
                </c:pt>
                <c:pt idx="14">
                  <c:v>28</c:v>
                </c:pt>
                <c:pt idx="15">
                  <c:v>27</c:v>
                </c:pt>
                <c:pt idx="16">
                  <c:v>26</c:v>
                </c:pt>
                <c:pt idx="17">
                  <c:v>26</c:v>
                </c:pt>
                <c:pt idx="18">
                  <c:v>22</c:v>
                </c:pt>
                <c:pt idx="19">
                  <c:v>22</c:v>
                </c:pt>
                <c:pt idx="20">
                  <c:v>21</c:v>
                </c:pt>
                <c:pt idx="21">
                  <c:v>15</c:v>
                </c:pt>
                <c:pt idx="22">
                  <c:v>12</c:v>
                </c:pt>
              </c:numCache>
            </c:numRef>
          </c:val>
          <c:extLst>
            <c:ext xmlns:c16="http://schemas.microsoft.com/office/drawing/2014/chart" uri="{C3380CC4-5D6E-409C-BE32-E72D297353CC}">
              <c16:uniqueId val="{00000000-975C-4B08-8FA5-7DA39C9640E1}"/>
            </c:ext>
          </c:extLst>
        </c:ser>
        <c:dLbls>
          <c:showLegendKey val="0"/>
          <c:showVal val="0"/>
          <c:showCatName val="0"/>
          <c:showSerName val="0"/>
          <c:showPercent val="0"/>
          <c:showBubbleSize val="0"/>
        </c:dLbls>
        <c:gapWidth val="80"/>
        <c:overlap val="-27"/>
        <c:axId val="1597857055"/>
        <c:axId val="1597852479"/>
      </c:barChart>
      <c:catAx>
        <c:axId val="159785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852479"/>
        <c:crosses val="autoZero"/>
        <c:auto val="1"/>
        <c:lblAlgn val="ctr"/>
        <c:lblOffset val="100"/>
        <c:noMultiLvlLbl val="0"/>
      </c:catAx>
      <c:valAx>
        <c:axId val="15978524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85705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a:glow rad="139700">
        <a:schemeClr val="accent3">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[Car_Sales_Data(final project excel).xlsx]Sales by State !PivotTable8</c:name>
    <c:fmtId val="4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State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68A85"/>
          </a:solidFill>
          <a:ln>
            <a:solidFill>
              <a:schemeClr val="bg1"/>
            </a:solidFill>
          </a:ln>
          <a:effectLst>
            <a:innerShdw blurRad="63500" dist="50800" dir="162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State '!$C$3</c:f>
              <c:strCache>
                <c:ptCount val="1"/>
                <c:pt idx="0">
                  <c:v>Total</c:v>
                </c:pt>
              </c:strCache>
            </c:strRef>
          </c:tx>
          <c:spPr>
            <a:solidFill>
              <a:srgbClr val="268A85"/>
            </a:solidFill>
            <a:ln>
              <a:solidFill>
                <a:schemeClr val="bg1"/>
              </a:solidFill>
            </a:ln>
            <a:effectLst>
              <a:innerShdw blurRad="63500" dist="50800" dir="16200000">
                <a:prstClr val="black">
                  <a:alpha val="50000"/>
                </a:prstClr>
              </a:innerShdw>
            </a:effectLst>
          </c:spPr>
          <c:invertIfNegative val="0"/>
          <c:cat>
            <c:strRef>
              <c:f>'Sales by State '!$B$4:$B$13</c:f>
              <c:strCache>
                <c:ptCount val="10"/>
                <c:pt idx="0">
                  <c:v>Tennessee</c:v>
                </c:pt>
                <c:pt idx="1">
                  <c:v>Ohio</c:v>
                </c:pt>
                <c:pt idx="2">
                  <c:v>Missouri</c:v>
                </c:pt>
                <c:pt idx="3">
                  <c:v>California</c:v>
                </c:pt>
                <c:pt idx="4">
                  <c:v>New York</c:v>
                </c:pt>
                <c:pt idx="5">
                  <c:v>Illinois</c:v>
                </c:pt>
                <c:pt idx="6">
                  <c:v>Pennsylvania</c:v>
                </c:pt>
                <c:pt idx="7">
                  <c:v>Texas</c:v>
                </c:pt>
                <c:pt idx="8">
                  <c:v>Georgia</c:v>
                </c:pt>
                <c:pt idx="9">
                  <c:v>Florida</c:v>
                </c:pt>
              </c:strCache>
            </c:strRef>
          </c:cat>
          <c:val>
            <c:numRef>
              <c:f>'Sales by State '!$C$4:$C$13</c:f>
              <c:numCache>
                <c:formatCode>_("$"* #,##0_);_("$"* \(#,##0\);_("$"* "-"??_);_(@_)</c:formatCode>
                <c:ptCount val="10"/>
                <c:pt idx="0">
                  <c:v>9737000</c:v>
                </c:pt>
                <c:pt idx="1">
                  <c:v>7342000</c:v>
                </c:pt>
                <c:pt idx="2">
                  <c:v>5865000</c:v>
                </c:pt>
                <c:pt idx="3">
                  <c:v>4625000</c:v>
                </c:pt>
                <c:pt idx="4">
                  <c:v>3981000</c:v>
                </c:pt>
                <c:pt idx="5">
                  <c:v>3768000</c:v>
                </c:pt>
                <c:pt idx="6">
                  <c:v>3587000</c:v>
                </c:pt>
                <c:pt idx="7">
                  <c:v>3538000</c:v>
                </c:pt>
                <c:pt idx="8">
                  <c:v>3154000</c:v>
                </c:pt>
                <c:pt idx="9">
                  <c:v>2505000</c:v>
                </c:pt>
              </c:numCache>
            </c:numRef>
          </c:val>
          <c:extLst>
            <c:ext xmlns:c16="http://schemas.microsoft.com/office/drawing/2014/chart" uri="{C3380CC4-5D6E-409C-BE32-E72D297353CC}">
              <c16:uniqueId val="{00000000-5351-4DB4-AC14-510B45C136BF}"/>
            </c:ext>
          </c:extLst>
        </c:ser>
        <c:dLbls>
          <c:showLegendKey val="0"/>
          <c:showVal val="0"/>
          <c:showCatName val="0"/>
          <c:showSerName val="0"/>
          <c:showPercent val="0"/>
          <c:showBubbleSize val="0"/>
        </c:dLbls>
        <c:gapWidth val="80"/>
        <c:overlap val="-27"/>
        <c:axId val="467370959"/>
        <c:axId val="875573327"/>
      </c:barChart>
      <c:catAx>
        <c:axId val="467370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573327"/>
        <c:crosses val="autoZero"/>
        <c:auto val="1"/>
        <c:lblAlgn val="ctr"/>
        <c:lblOffset val="100"/>
        <c:noMultiLvlLbl val="0"/>
      </c:catAx>
      <c:valAx>
        <c:axId val="875573327"/>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3709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alpha val="98000"/>
        </a:schemeClr>
      </a:solidFill>
      <a:round/>
    </a:ln>
    <a:effectLst>
      <a:glow rad="101600">
        <a:schemeClr val="accent3">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[Car_Sales_Data(final project excel).xlsx]Transmission Type!PivotTable9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Transmission Type </a:t>
            </a:r>
          </a:p>
        </c:rich>
      </c:tx>
      <c:layout>
        <c:manualLayout>
          <c:xMode val="edge"/>
          <c:yMode val="edge"/>
          <c:x val="7.9826334208223979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68A8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tile tx="0" ty="0" sx="100000" sy="100000" flip="none" algn="tl"/>
          </a:blipFill>
          <a:ln w="19050">
            <a:solidFill>
              <a:schemeClr val="bg1"/>
            </a:solidFill>
          </a:ln>
          <a:effectLst>
            <a:outerShdw blurRad="50800" dist="25400" dir="2700000" algn="t" rotWithShape="0">
              <a:prstClr val="black">
                <a:alpha val="40000"/>
              </a:prstClr>
            </a:outerShdw>
          </a:effectLst>
        </c:spPr>
      </c:pivotFmt>
      <c:pivotFmt>
        <c:idx val="2"/>
        <c:spPr>
          <a:solidFill>
            <a:srgbClr val="268A85"/>
          </a:solidFill>
          <a:ln w="19050">
            <a:solidFill>
              <a:schemeClr val="lt1"/>
            </a:solidFill>
          </a:ln>
          <a:effectLst>
            <a:outerShdw blurRad="50800" dist="38100" dir="5400000" algn="t" rotWithShape="0">
              <a:prstClr val="black">
                <a:alpha val="40000"/>
              </a:prstClr>
            </a:outerShdw>
          </a:effectLst>
        </c:spPr>
      </c:pivotFmt>
    </c:pivotFmts>
    <c:plotArea>
      <c:layout/>
      <c:doughnutChart>
        <c:varyColors val="1"/>
        <c:ser>
          <c:idx val="0"/>
          <c:order val="0"/>
          <c:tx>
            <c:strRef>
              <c:f>'Transmission Type'!$C$2</c:f>
              <c:strCache>
                <c:ptCount val="1"/>
                <c:pt idx="0">
                  <c:v>Total</c:v>
                </c:pt>
              </c:strCache>
            </c:strRef>
          </c:tx>
          <c:spPr>
            <a:solidFill>
              <a:srgbClr val="268A85"/>
            </a:solidFill>
          </c:spPr>
          <c:dPt>
            <c:idx val="0"/>
            <c:bubble3D val="0"/>
            <c:spPr>
              <a:solidFill>
                <a:srgbClr val="268A85"/>
              </a:solidFill>
              <a:ln w="19050">
                <a:solidFill>
                  <a:schemeClr val="lt1"/>
                </a:solid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3-ACE0-48EC-BF52-209A04EE7CF8}"/>
              </c:ext>
            </c:extLst>
          </c:dPt>
          <c:dPt>
            <c:idx val="1"/>
            <c:bubble3D val="0"/>
            <c:spPr>
              <a:blipFill>
                <a:blip xmlns:r="http://schemas.openxmlformats.org/officeDocument/2006/relationships" r:embed="rId3"/>
                <a:tile tx="0" ty="0" sx="100000" sy="100000" flip="none" algn="tl"/>
              </a:blipFill>
              <a:ln w="19050">
                <a:solidFill>
                  <a:schemeClr val="bg1"/>
                </a:solidFill>
              </a:ln>
              <a:effectLst>
                <a:outerShdw blurRad="50800" dist="25400" dir="2700000" algn="t" rotWithShape="0">
                  <a:prstClr val="black">
                    <a:alpha val="40000"/>
                  </a:prstClr>
                </a:outerShdw>
              </a:effectLst>
            </c:spPr>
            <c:extLst>
              <c:ext xmlns:c16="http://schemas.microsoft.com/office/drawing/2014/chart" uri="{C3380CC4-5D6E-409C-BE32-E72D297353CC}">
                <c16:uniqueId val="{00000002-ACE0-48EC-BF52-209A04EE7CF8}"/>
              </c:ext>
            </c:extLst>
          </c:dPt>
          <c:cat>
            <c:strRef>
              <c:f>'Transmission Type'!$B$3:$B$4</c:f>
              <c:strCache>
                <c:ptCount val="2"/>
                <c:pt idx="0">
                  <c:v>Automatic</c:v>
                </c:pt>
                <c:pt idx="1">
                  <c:v>Manual</c:v>
                </c:pt>
              </c:strCache>
            </c:strRef>
          </c:cat>
          <c:val>
            <c:numRef>
              <c:f>'Transmission Type'!$C$3:$C$4</c:f>
              <c:numCache>
                <c:formatCode>General</c:formatCode>
                <c:ptCount val="2"/>
                <c:pt idx="0">
                  <c:v>406</c:v>
                </c:pt>
                <c:pt idx="1">
                  <c:v>371</c:v>
                </c:pt>
              </c:numCache>
            </c:numRef>
          </c:val>
          <c:extLst>
            <c:ext xmlns:c16="http://schemas.microsoft.com/office/drawing/2014/chart" uri="{C3380CC4-5D6E-409C-BE32-E72D297353CC}">
              <c16:uniqueId val="{00000000-ACE0-48EC-BF52-209A04EE7CF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1962007874015745"/>
          <c:y val="3.3193715368912233E-2"/>
          <c:w val="0.3303799212598425"/>
          <c:h val="0.15625109361329836"/>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a:glow rad="101600">
        <a:schemeClr val="accent3">
          <a:satMod val="175000"/>
          <a:alpha val="40000"/>
        </a:schemeClr>
      </a:glow>
      <a:outerShdw blurRad="50800" dist="38100" dir="5400000" algn="t" rotWithShape="0">
        <a:prstClr val="black">
          <a:alpha val="40000"/>
        </a:prstClr>
      </a:outerShdw>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[Car_Sales_Data(final project excel).xlsx]Sales by Year!PivotTable10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Car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68A85"/>
          </a:solidFill>
          <a:ln>
            <a:solidFill>
              <a:schemeClr val="bg1"/>
            </a:solidFill>
          </a:ln>
          <a:effectLst>
            <a:outerShdw blurRad="63500" sx="102000" sy="102000" algn="ctr" rotWithShape="0">
              <a:prstClr val="black">
                <a:alpha val="40000"/>
              </a:prstClr>
            </a:outerShdw>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68A85"/>
          </a:solidFill>
          <a:ln>
            <a:solidFill>
              <a:schemeClr val="bg1"/>
            </a:solidFill>
          </a:ln>
          <a:effectLst>
            <a:outerShdw blurRad="63500" sx="102000" sy="102000" algn="ctr" rotWithShape="0">
              <a:prstClr val="black">
                <a:alpha val="40000"/>
              </a:prstClr>
            </a:outerShdw>
            <a:softEdge rad="12700"/>
          </a:effectLst>
        </c:spPr>
      </c:pivotFmt>
    </c:pivotFmts>
    <c:plotArea>
      <c:layout>
        <c:manualLayout>
          <c:layoutTarget val="inner"/>
          <c:xMode val="edge"/>
          <c:yMode val="edge"/>
          <c:x val="0.11960620066421609"/>
          <c:y val="0.1370657797487066"/>
          <c:w val="0.76447462214907747"/>
          <c:h val="0.77750085840156902"/>
        </c:manualLayout>
      </c:layout>
      <c:barChart>
        <c:barDir val="col"/>
        <c:grouping val="clustered"/>
        <c:varyColors val="0"/>
        <c:ser>
          <c:idx val="0"/>
          <c:order val="0"/>
          <c:tx>
            <c:strRef>
              <c:f>'Sales by Year'!$C$3</c:f>
              <c:strCache>
                <c:ptCount val="1"/>
                <c:pt idx="0">
                  <c:v>Total</c:v>
                </c:pt>
              </c:strCache>
            </c:strRef>
          </c:tx>
          <c:spPr>
            <a:solidFill>
              <a:srgbClr val="268A85"/>
            </a:solidFill>
            <a:ln>
              <a:solidFill>
                <a:schemeClr val="bg1"/>
              </a:solidFill>
            </a:ln>
            <a:effectLst>
              <a:outerShdw blurRad="63500" sx="102000" sy="102000" algn="ctr" rotWithShape="0">
                <a:prstClr val="black">
                  <a:alpha val="40000"/>
                </a:prstClr>
              </a:outerShdw>
              <a:softEdge rad="12700"/>
            </a:effectLst>
          </c:spPr>
          <c:invertIfNegative val="0"/>
          <c:cat>
            <c:strRef>
              <c:f>'Sales by Year'!$B$4:$B$38</c:f>
              <c:strCache>
                <c:ptCount val="3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strCache>
            </c:strRef>
          </c:cat>
          <c:val>
            <c:numRef>
              <c:f>'Sales by Year'!$C$4:$C$38</c:f>
              <c:numCache>
                <c:formatCode>_("$"* #,##0_);_("$"* \(#,##0\);_("$"* "-"??_);_(@_)</c:formatCode>
                <c:ptCount val="35"/>
                <c:pt idx="0">
                  <c:v>1383000</c:v>
                </c:pt>
                <c:pt idx="1">
                  <c:v>2134000</c:v>
                </c:pt>
                <c:pt idx="2">
                  <c:v>302000</c:v>
                </c:pt>
                <c:pt idx="3">
                  <c:v>804000</c:v>
                </c:pt>
                <c:pt idx="4">
                  <c:v>1236000</c:v>
                </c:pt>
                <c:pt idx="5">
                  <c:v>896000</c:v>
                </c:pt>
                <c:pt idx="6">
                  <c:v>1415000</c:v>
                </c:pt>
                <c:pt idx="7">
                  <c:v>1596000</c:v>
                </c:pt>
                <c:pt idx="8">
                  <c:v>1161000</c:v>
                </c:pt>
                <c:pt idx="9">
                  <c:v>337000</c:v>
                </c:pt>
                <c:pt idx="10">
                  <c:v>1200000</c:v>
                </c:pt>
                <c:pt idx="11">
                  <c:v>1287000</c:v>
                </c:pt>
                <c:pt idx="12">
                  <c:v>1211000</c:v>
                </c:pt>
                <c:pt idx="13">
                  <c:v>3707000</c:v>
                </c:pt>
                <c:pt idx="14">
                  <c:v>932000</c:v>
                </c:pt>
                <c:pt idx="15">
                  <c:v>300000</c:v>
                </c:pt>
                <c:pt idx="16">
                  <c:v>1811000</c:v>
                </c:pt>
                <c:pt idx="17">
                  <c:v>945000</c:v>
                </c:pt>
                <c:pt idx="18">
                  <c:v>1992000</c:v>
                </c:pt>
                <c:pt idx="19">
                  <c:v>2199000</c:v>
                </c:pt>
                <c:pt idx="20">
                  <c:v>2585000</c:v>
                </c:pt>
                <c:pt idx="21">
                  <c:v>2967000</c:v>
                </c:pt>
                <c:pt idx="22">
                  <c:v>2080000</c:v>
                </c:pt>
                <c:pt idx="23">
                  <c:v>1461000</c:v>
                </c:pt>
                <c:pt idx="24">
                  <c:v>2130000</c:v>
                </c:pt>
                <c:pt idx="25">
                  <c:v>656000</c:v>
                </c:pt>
                <c:pt idx="26">
                  <c:v>613000</c:v>
                </c:pt>
                <c:pt idx="27">
                  <c:v>950000</c:v>
                </c:pt>
                <c:pt idx="28">
                  <c:v>2570000</c:v>
                </c:pt>
                <c:pt idx="29">
                  <c:v>459000</c:v>
                </c:pt>
                <c:pt idx="30">
                  <c:v>1137000</c:v>
                </c:pt>
                <c:pt idx="31">
                  <c:v>830000</c:v>
                </c:pt>
                <c:pt idx="32">
                  <c:v>840000</c:v>
                </c:pt>
                <c:pt idx="33">
                  <c:v>1806000</c:v>
                </c:pt>
                <c:pt idx="34">
                  <c:v>170000</c:v>
                </c:pt>
              </c:numCache>
            </c:numRef>
          </c:val>
          <c:extLst>
            <c:ext xmlns:c16="http://schemas.microsoft.com/office/drawing/2014/chart" uri="{C3380CC4-5D6E-409C-BE32-E72D297353CC}">
              <c16:uniqueId val="{00000000-E065-4BAA-8C8A-FD6D6B6FC931}"/>
            </c:ext>
          </c:extLst>
        </c:ser>
        <c:dLbls>
          <c:showLegendKey val="0"/>
          <c:showVal val="0"/>
          <c:showCatName val="0"/>
          <c:showSerName val="0"/>
          <c:showPercent val="0"/>
          <c:showBubbleSize val="0"/>
        </c:dLbls>
        <c:gapWidth val="80"/>
        <c:overlap val="-27"/>
        <c:axId val="950968159"/>
        <c:axId val="950968575"/>
      </c:barChart>
      <c:catAx>
        <c:axId val="950968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968575"/>
        <c:crosses val="autoZero"/>
        <c:auto val="1"/>
        <c:lblAlgn val="ctr"/>
        <c:lblOffset val="100"/>
        <c:noMultiLvlLbl val="0"/>
      </c:catAx>
      <c:valAx>
        <c:axId val="950968575"/>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968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88900">
        <a:schemeClr val="accent3">
          <a:satMod val="175000"/>
          <a:alpha val="40000"/>
        </a:schemeClr>
      </a:glow>
      <a:outerShdw blurRad="63500" dist="25400" dir="2700000" sx="102000" sy="102000" algn="ctr" rotWithShape="0">
        <a:prstClr val="black">
          <a:alpha val="40000"/>
        </a:prstClr>
      </a:outerShdw>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[Car_Sales_Data(final project excel).xlsx]Color!PivotTable11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Common Car Colors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68A85"/>
          </a:solidFill>
          <a:ln>
            <a:solidFill>
              <a:schemeClr val="bg1"/>
            </a:solidFill>
          </a:ln>
          <a:effectLst>
            <a:outerShdw blurRad="63500" dist="25400" dir="2700000" sx="102000" sy="102000" algn="ctr" rotWithShape="0">
              <a:prstClr val="black">
                <a:alpha val="40000"/>
              </a:prstClr>
            </a:outerShdw>
          </a:effectLst>
          <a:sp3d>
            <a:contourClr>
              <a:schemeClr val="bg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6.9247594050743655E-2"/>
          <c:y val="0.17171296296296298"/>
          <c:w val="0.79299759405074366"/>
          <c:h val="0.620184456109653"/>
        </c:manualLayout>
      </c:layout>
      <c:bar3DChart>
        <c:barDir val="col"/>
        <c:grouping val="clustered"/>
        <c:varyColors val="0"/>
        <c:ser>
          <c:idx val="0"/>
          <c:order val="0"/>
          <c:tx>
            <c:strRef>
              <c:f>Color!$C$3</c:f>
              <c:strCache>
                <c:ptCount val="1"/>
                <c:pt idx="0">
                  <c:v>Total</c:v>
                </c:pt>
              </c:strCache>
            </c:strRef>
          </c:tx>
          <c:spPr>
            <a:solidFill>
              <a:srgbClr val="268A85"/>
            </a:solidFill>
            <a:ln>
              <a:solidFill>
                <a:schemeClr val="bg1"/>
              </a:solidFill>
            </a:ln>
            <a:effectLst>
              <a:outerShdw blurRad="63500" dist="25400" dir="2700000" sx="102000" sy="102000" algn="ctr" rotWithShape="0">
                <a:prstClr val="black">
                  <a:alpha val="40000"/>
                </a:prstClr>
              </a:outerShdw>
            </a:effectLst>
            <a:sp3d>
              <a:contourClr>
                <a:schemeClr val="bg1"/>
              </a:contourClr>
            </a:sp3d>
          </c:spPr>
          <c:invertIfNegative val="0"/>
          <c:cat>
            <c:strRef>
              <c:f>Color!$B$4:$B$13</c:f>
              <c:strCache>
                <c:ptCount val="10"/>
                <c:pt idx="0">
                  <c:v>Lime</c:v>
                </c:pt>
                <c:pt idx="1">
                  <c:v>Blue</c:v>
                </c:pt>
                <c:pt idx="2">
                  <c:v>Yellow</c:v>
                </c:pt>
                <c:pt idx="3">
                  <c:v>Pink</c:v>
                </c:pt>
                <c:pt idx="4">
                  <c:v>Turquoise</c:v>
                </c:pt>
                <c:pt idx="5">
                  <c:v>Brown</c:v>
                </c:pt>
                <c:pt idx="6">
                  <c:v>Orange</c:v>
                </c:pt>
                <c:pt idx="7">
                  <c:v>Green</c:v>
                </c:pt>
                <c:pt idx="8">
                  <c:v>Silver</c:v>
                </c:pt>
                <c:pt idx="9">
                  <c:v>Purple</c:v>
                </c:pt>
              </c:strCache>
            </c:strRef>
          </c:cat>
          <c:val>
            <c:numRef>
              <c:f>Color!$C$4:$C$13</c:f>
              <c:numCache>
                <c:formatCode>General</c:formatCode>
                <c:ptCount val="10"/>
                <c:pt idx="0">
                  <c:v>68</c:v>
                </c:pt>
                <c:pt idx="1">
                  <c:v>67</c:v>
                </c:pt>
                <c:pt idx="2">
                  <c:v>66</c:v>
                </c:pt>
                <c:pt idx="3">
                  <c:v>51</c:v>
                </c:pt>
                <c:pt idx="4">
                  <c:v>49</c:v>
                </c:pt>
                <c:pt idx="5">
                  <c:v>45</c:v>
                </c:pt>
                <c:pt idx="6">
                  <c:v>45</c:v>
                </c:pt>
                <c:pt idx="7">
                  <c:v>44</c:v>
                </c:pt>
                <c:pt idx="8">
                  <c:v>40</c:v>
                </c:pt>
                <c:pt idx="9">
                  <c:v>39</c:v>
                </c:pt>
              </c:numCache>
            </c:numRef>
          </c:val>
          <c:extLst>
            <c:ext xmlns:c16="http://schemas.microsoft.com/office/drawing/2014/chart" uri="{C3380CC4-5D6E-409C-BE32-E72D297353CC}">
              <c16:uniqueId val="{00000000-B762-4658-9652-474BD4C17B31}"/>
            </c:ext>
          </c:extLst>
        </c:ser>
        <c:dLbls>
          <c:showLegendKey val="0"/>
          <c:showVal val="0"/>
          <c:showCatName val="0"/>
          <c:showSerName val="0"/>
          <c:showPercent val="0"/>
          <c:showBubbleSize val="0"/>
        </c:dLbls>
        <c:gapWidth val="80"/>
        <c:shape val="box"/>
        <c:axId val="1594736191"/>
        <c:axId val="1594733279"/>
        <c:axId val="0"/>
      </c:bar3DChart>
      <c:catAx>
        <c:axId val="15947361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733279"/>
        <c:crosses val="autoZero"/>
        <c:auto val="1"/>
        <c:lblAlgn val="ctr"/>
        <c:lblOffset val="100"/>
        <c:noMultiLvlLbl val="0"/>
      </c:catAx>
      <c:valAx>
        <c:axId val="15947332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736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a:glow rad="139700">
        <a:schemeClr val="accent3">
          <a:satMod val="175000"/>
          <a:alpha val="40000"/>
        </a:schemeClr>
      </a:glow>
      <a:outerShdw blurRad="63500" dist="25400" dir="27000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[Car_Sales_Data(final project excel).xlsx]Average Car Condition !PivotTable12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Car Condition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097B19"/>
            </a:solidFill>
            <a:round/>
          </a:ln>
          <a:effectLst>
            <a:outerShdw blurRad="50800" dist="25400" dir="27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85870516185478"/>
          <c:y val="0.16708333333333336"/>
          <c:w val="0.72196019247594045"/>
          <c:h val="0.68767023913677461"/>
        </c:manualLayout>
      </c:layout>
      <c:lineChart>
        <c:grouping val="standard"/>
        <c:varyColors val="0"/>
        <c:ser>
          <c:idx val="0"/>
          <c:order val="0"/>
          <c:tx>
            <c:strRef>
              <c:f>'Average Car Condition '!$C$3</c:f>
              <c:strCache>
                <c:ptCount val="1"/>
                <c:pt idx="0">
                  <c:v>Total</c:v>
                </c:pt>
              </c:strCache>
            </c:strRef>
          </c:tx>
          <c:spPr>
            <a:ln w="28575" cap="rnd">
              <a:solidFill>
                <a:srgbClr val="097B19"/>
              </a:solidFill>
              <a:round/>
            </a:ln>
            <a:effectLst>
              <a:outerShdw blurRad="50800" dist="25400" dir="2700000" algn="t" rotWithShape="0">
                <a:prstClr val="black">
                  <a:alpha val="40000"/>
                </a:prstClr>
              </a:outerShdw>
            </a:effectLst>
          </c:spPr>
          <c:marker>
            <c:symbol val="none"/>
          </c:marker>
          <c:cat>
            <c:strRef>
              <c:f>'Average Car Condition '!$B$4:$B$38</c:f>
              <c:strCache>
                <c:ptCount val="3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strCache>
            </c:strRef>
          </c:cat>
          <c:val>
            <c:numRef>
              <c:f>'Average Car Condition '!$C$4:$C$38</c:f>
              <c:numCache>
                <c:formatCode>0.00</c:formatCode>
                <c:ptCount val="35"/>
                <c:pt idx="0">
                  <c:v>5.1375000000000002</c:v>
                </c:pt>
                <c:pt idx="1">
                  <c:v>5.866666666666668</c:v>
                </c:pt>
                <c:pt idx="2">
                  <c:v>7.5750000000000002</c:v>
                </c:pt>
                <c:pt idx="3">
                  <c:v>7.625</c:v>
                </c:pt>
                <c:pt idx="4">
                  <c:v>10.059999999999999</c:v>
                </c:pt>
                <c:pt idx="5">
                  <c:v>11.5</c:v>
                </c:pt>
                <c:pt idx="6">
                  <c:v>11.718181818181819</c:v>
                </c:pt>
                <c:pt idx="7">
                  <c:v>12.9625</c:v>
                </c:pt>
                <c:pt idx="8">
                  <c:v>13.366666666666667</c:v>
                </c:pt>
                <c:pt idx="9">
                  <c:v>12.966666666666667</c:v>
                </c:pt>
                <c:pt idx="10">
                  <c:v>15.580000000000002</c:v>
                </c:pt>
                <c:pt idx="11">
                  <c:v>16.79</c:v>
                </c:pt>
                <c:pt idx="12">
                  <c:v>17.32</c:v>
                </c:pt>
                <c:pt idx="13">
                  <c:v>18.108333333333334</c:v>
                </c:pt>
                <c:pt idx="14">
                  <c:v>19.475000000000001</c:v>
                </c:pt>
                <c:pt idx="15">
                  <c:v>22.700000000000003</c:v>
                </c:pt>
                <c:pt idx="16">
                  <c:v>21.472727272727273</c:v>
                </c:pt>
                <c:pt idx="17">
                  <c:v>21.771428571428569</c:v>
                </c:pt>
                <c:pt idx="18">
                  <c:v>23.988888888888891</c:v>
                </c:pt>
                <c:pt idx="19">
                  <c:v>24.990909090909089</c:v>
                </c:pt>
                <c:pt idx="20">
                  <c:v>26.153846153846157</c:v>
                </c:pt>
                <c:pt idx="21">
                  <c:v>27.138461538461538</c:v>
                </c:pt>
                <c:pt idx="22">
                  <c:v>27.266666666666666</c:v>
                </c:pt>
                <c:pt idx="23">
                  <c:v>28.8</c:v>
                </c:pt>
                <c:pt idx="24">
                  <c:v>30.111111111111111</c:v>
                </c:pt>
                <c:pt idx="25">
                  <c:v>31.166666666666671</c:v>
                </c:pt>
                <c:pt idx="26">
                  <c:v>29.98</c:v>
                </c:pt>
                <c:pt idx="27">
                  <c:v>32.019999999999996</c:v>
                </c:pt>
                <c:pt idx="28">
                  <c:v>33.636363636363633</c:v>
                </c:pt>
                <c:pt idx="29">
                  <c:v>35.216666666666669</c:v>
                </c:pt>
                <c:pt idx="30">
                  <c:v>36.866666666666667</c:v>
                </c:pt>
                <c:pt idx="31">
                  <c:v>35.114285714285714</c:v>
                </c:pt>
                <c:pt idx="32">
                  <c:v>38.700000000000003</c:v>
                </c:pt>
                <c:pt idx="33">
                  <c:v>38.577777777777776</c:v>
                </c:pt>
                <c:pt idx="34">
                  <c:v>39.200000000000003</c:v>
                </c:pt>
              </c:numCache>
            </c:numRef>
          </c:val>
          <c:smooth val="1"/>
          <c:extLst>
            <c:ext xmlns:c16="http://schemas.microsoft.com/office/drawing/2014/chart" uri="{C3380CC4-5D6E-409C-BE32-E72D297353CC}">
              <c16:uniqueId val="{00000000-DC63-4AED-BD4A-21CF88828C23}"/>
            </c:ext>
          </c:extLst>
        </c:ser>
        <c:dLbls>
          <c:showLegendKey val="0"/>
          <c:showVal val="0"/>
          <c:showCatName val="0"/>
          <c:showSerName val="0"/>
          <c:showPercent val="0"/>
          <c:showBubbleSize val="0"/>
        </c:dLbls>
        <c:smooth val="0"/>
        <c:axId val="324263967"/>
        <c:axId val="324263551"/>
      </c:lineChart>
      <c:catAx>
        <c:axId val="32426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263551"/>
        <c:crosses val="autoZero"/>
        <c:auto val="1"/>
        <c:lblAlgn val="ctr"/>
        <c:lblOffset val="100"/>
        <c:noMultiLvlLbl val="0"/>
      </c:catAx>
      <c:valAx>
        <c:axId val="32426355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26396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097B19"/>
      </a:solidFill>
      <a:round/>
    </a:ln>
    <a:effectLst>
      <a:glow rad="139700">
        <a:schemeClr val="accent3">
          <a:satMod val="175000"/>
          <a:alpha val="40000"/>
        </a:schemeClr>
      </a:glow>
      <a:outerShdw blurRad="50800" dist="25400" dir="27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[Car_Sales_Data(final project excel).xlsx]Body Type !PivotTable13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Common Body Type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C948E"/>
          </a:solidFill>
          <a:ln>
            <a:solidFill>
              <a:srgbClr val="097B19"/>
            </a:solidFill>
          </a:ln>
          <a:effectLst>
            <a:outerShdw blurRad="63500" sx="102000" sy="102000" algn="ctr" rotWithShape="0">
              <a:prstClr val="black">
                <a:alpha val="40000"/>
              </a:prstClr>
            </a:outerShdw>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12621782005757"/>
          <c:y val="0.15319444444444447"/>
          <c:w val="0.81351329952534213"/>
          <c:h val="0.72125801983085447"/>
        </c:manualLayout>
      </c:layout>
      <c:barChart>
        <c:barDir val="bar"/>
        <c:grouping val="stacked"/>
        <c:varyColors val="0"/>
        <c:ser>
          <c:idx val="0"/>
          <c:order val="0"/>
          <c:tx>
            <c:strRef>
              <c:f>'Body Type '!$C$3</c:f>
              <c:strCache>
                <c:ptCount val="1"/>
                <c:pt idx="0">
                  <c:v>Total</c:v>
                </c:pt>
              </c:strCache>
            </c:strRef>
          </c:tx>
          <c:spPr>
            <a:solidFill>
              <a:srgbClr val="1C948E"/>
            </a:solidFill>
            <a:ln>
              <a:solidFill>
                <a:srgbClr val="097B19"/>
              </a:solidFill>
            </a:ln>
            <a:effectLst>
              <a:outerShdw blurRad="63500" sx="102000" sy="102000" algn="ctr" rotWithShape="0">
                <a:prstClr val="black">
                  <a:alpha val="40000"/>
                </a:prstClr>
              </a:outerShdw>
              <a:softEdge rad="12700"/>
            </a:effectLst>
          </c:spPr>
          <c:invertIfNegative val="0"/>
          <c:cat>
            <c:strRef>
              <c:f>'Body Type '!$B$4:$B$13</c:f>
              <c:strCache>
                <c:ptCount val="10"/>
                <c:pt idx="0">
                  <c:v>G Sedan</c:v>
                </c:pt>
                <c:pt idx="1">
                  <c:v>Coupe</c:v>
                </c:pt>
                <c:pt idx="2">
                  <c:v>Crew Cab</c:v>
                </c:pt>
                <c:pt idx="3">
                  <c:v>Wagon</c:v>
                </c:pt>
                <c:pt idx="4">
                  <c:v>Hatchback</c:v>
                </c:pt>
                <c:pt idx="5">
                  <c:v>Sedan</c:v>
                </c:pt>
                <c:pt idx="6">
                  <c:v>Convertible</c:v>
                </c:pt>
                <c:pt idx="7">
                  <c:v>SuperCrew</c:v>
                </c:pt>
                <c:pt idx="8">
                  <c:v>Minivan</c:v>
                </c:pt>
                <c:pt idx="9">
                  <c:v>SUV</c:v>
                </c:pt>
              </c:strCache>
            </c:strRef>
          </c:cat>
          <c:val>
            <c:numRef>
              <c:f>'Body Type '!$C$4:$C$13</c:f>
              <c:numCache>
                <c:formatCode>General</c:formatCode>
                <c:ptCount val="10"/>
                <c:pt idx="0">
                  <c:v>100</c:v>
                </c:pt>
                <c:pt idx="1">
                  <c:v>97</c:v>
                </c:pt>
                <c:pt idx="2">
                  <c:v>83</c:v>
                </c:pt>
                <c:pt idx="3">
                  <c:v>82</c:v>
                </c:pt>
                <c:pt idx="4">
                  <c:v>79</c:v>
                </c:pt>
                <c:pt idx="5">
                  <c:v>73</c:v>
                </c:pt>
                <c:pt idx="6">
                  <c:v>72</c:v>
                </c:pt>
                <c:pt idx="7">
                  <c:v>66</c:v>
                </c:pt>
                <c:pt idx="8">
                  <c:v>65</c:v>
                </c:pt>
                <c:pt idx="9">
                  <c:v>60</c:v>
                </c:pt>
              </c:numCache>
            </c:numRef>
          </c:val>
          <c:extLst>
            <c:ext xmlns:c16="http://schemas.microsoft.com/office/drawing/2014/chart" uri="{C3380CC4-5D6E-409C-BE32-E72D297353CC}">
              <c16:uniqueId val="{00000000-F6B4-4957-B182-2191780F3DA9}"/>
            </c:ext>
          </c:extLst>
        </c:ser>
        <c:dLbls>
          <c:showLegendKey val="0"/>
          <c:showVal val="0"/>
          <c:showCatName val="0"/>
          <c:showSerName val="0"/>
          <c:showPercent val="0"/>
          <c:showBubbleSize val="0"/>
        </c:dLbls>
        <c:gapWidth val="80"/>
        <c:overlap val="100"/>
        <c:axId val="502109823"/>
        <c:axId val="502111071"/>
      </c:barChart>
      <c:catAx>
        <c:axId val="502109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111071"/>
        <c:crosses val="autoZero"/>
        <c:auto val="1"/>
        <c:lblAlgn val="ctr"/>
        <c:lblOffset val="100"/>
        <c:noMultiLvlLbl val="0"/>
      </c:catAx>
      <c:valAx>
        <c:axId val="5021110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109823"/>
        <c:crosses val="autoZero"/>
        <c:crossBetween val="between"/>
      </c:valAx>
      <c:spPr>
        <a:noFill/>
        <a:ln>
          <a:solidFill>
            <a:schemeClr val="bg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139700">
        <a:schemeClr val="accent6">
          <a:satMod val="175000"/>
          <a:alpha val="40000"/>
        </a:schemeClr>
      </a:glow>
      <a:outerShdw blurRad="63500" dist="25400" dir="2700000" sx="102000" sy="102000" algn="ctr" rotWithShape="0">
        <a:prstClr val="black">
          <a:alpha val="40000"/>
        </a:prstClr>
      </a:outerShdw>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[Car_Sales_Data(final project excel).xlsx]Sales by Date !PivotTable14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Cars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13A09D"/>
            </a:solidFill>
            <a:round/>
          </a:ln>
          <a:effectLst>
            <a:outerShdw blurRad="63500" dist="25400" dir="27000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Date '!$C$3</c:f>
              <c:strCache>
                <c:ptCount val="1"/>
                <c:pt idx="0">
                  <c:v>Total</c:v>
                </c:pt>
              </c:strCache>
            </c:strRef>
          </c:tx>
          <c:spPr>
            <a:ln w="28575" cap="rnd">
              <a:solidFill>
                <a:srgbClr val="13A09D"/>
              </a:solidFill>
              <a:round/>
            </a:ln>
            <a:effectLst>
              <a:outerShdw blurRad="63500" dist="25400" dir="2700000" sx="102000" sy="102000" algn="ctr" rotWithShape="0">
                <a:prstClr val="black">
                  <a:alpha val="40000"/>
                </a:prstClr>
              </a:outerShdw>
            </a:effectLst>
          </c:spPr>
          <c:marker>
            <c:symbol val="none"/>
          </c:marker>
          <c:cat>
            <c:strRef>
              <c:f>'Sales by Date '!$B$4:$B$15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Date '!$C$4:$C$15</c:f>
              <c:numCache>
                <c:formatCode>_("$"* #,##0_);_("$"* \(#,##0\);_("$"* "-"??_);_(@_)</c:formatCode>
                <c:ptCount val="12"/>
                <c:pt idx="0">
                  <c:v>4985000</c:v>
                </c:pt>
                <c:pt idx="1">
                  <c:v>3738000</c:v>
                </c:pt>
                <c:pt idx="2">
                  <c:v>2687000</c:v>
                </c:pt>
                <c:pt idx="3">
                  <c:v>2938000</c:v>
                </c:pt>
                <c:pt idx="4">
                  <c:v>4901000</c:v>
                </c:pt>
                <c:pt idx="5">
                  <c:v>3326000</c:v>
                </c:pt>
                <c:pt idx="6">
                  <c:v>5312000</c:v>
                </c:pt>
                <c:pt idx="7">
                  <c:v>4190000</c:v>
                </c:pt>
                <c:pt idx="8">
                  <c:v>3740000</c:v>
                </c:pt>
                <c:pt idx="9">
                  <c:v>4871000</c:v>
                </c:pt>
                <c:pt idx="10">
                  <c:v>3220000</c:v>
                </c:pt>
                <c:pt idx="11">
                  <c:v>4194000</c:v>
                </c:pt>
              </c:numCache>
            </c:numRef>
          </c:val>
          <c:smooth val="1"/>
          <c:extLst>
            <c:ext xmlns:c16="http://schemas.microsoft.com/office/drawing/2014/chart" uri="{C3380CC4-5D6E-409C-BE32-E72D297353CC}">
              <c16:uniqueId val="{00000000-BE66-44E9-9ABA-B5E9946E2238}"/>
            </c:ext>
          </c:extLst>
        </c:ser>
        <c:dLbls>
          <c:showLegendKey val="0"/>
          <c:showVal val="0"/>
          <c:showCatName val="0"/>
          <c:showSerName val="0"/>
          <c:showPercent val="0"/>
          <c:showBubbleSize val="0"/>
        </c:dLbls>
        <c:smooth val="0"/>
        <c:axId val="950965663"/>
        <c:axId val="950970239"/>
      </c:lineChart>
      <c:catAx>
        <c:axId val="950965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970239"/>
        <c:crosses val="autoZero"/>
        <c:auto val="1"/>
        <c:lblAlgn val="ctr"/>
        <c:lblOffset val="100"/>
        <c:noMultiLvlLbl val="0"/>
      </c:catAx>
      <c:valAx>
        <c:axId val="950970239"/>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965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13A09D"/>
      </a:solidFill>
      <a:round/>
    </a:ln>
    <a:effectLst>
      <a:glow rad="139700">
        <a:schemeClr val="accent3">
          <a:satMod val="175000"/>
          <a:alpha val="40000"/>
        </a:schemeClr>
      </a:glow>
      <a:outerShdw blurRad="63500" dist="25400" dir="27000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2.svg"/><Relationship Id="rId18" Type="http://schemas.openxmlformats.org/officeDocument/2006/relationships/chart" Target="../charts/chart2.xml"/><Relationship Id="rId3" Type="http://schemas.openxmlformats.org/officeDocument/2006/relationships/hyperlink" Target="#'Dashboard(2)'!A1"/><Relationship Id="rId21" Type="http://schemas.openxmlformats.org/officeDocument/2006/relationships/chart" Target="../charts/chart5.xml"/><Relationship Id="rId7" Type="http://schemas.openxmlformats.org/officeDocument/2006/relationships/image" Target="../media/image6.svg"/><Relationship Id="rId12" Type="http://schemas.openxmlformats.org/officeDocument/2006/relationships/image" Target="../media/image11.png"/><Relationship Id="rId17" Type="http://schemas.openxmlformats.org/officeDocument/2006/relationships/chart" Target="../charts/chart1.xml"/><Relationship Id="rId2" Type="http://schemas.openxmlformats.org/officeDocument/2006/relationships/image" Target="../media/image2.svg"/><Relationship Id="rId16" Type="http://schemas.openxmlformats.org/officeDocument/2006/relationships/image" Target="../media/image14.svg"/><Relationship Id="rId20"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4.svg"/><Relationship Id="rId15" Type="http://schemas.openxmlformats.org/officeDocument/2006/relationships/image" Target="../media/image13.png"/><Relationship Id="rId10" Type="http://schemas.openxmlformats.org/officeDocument/2006/relationships/image" Target="../media/image9.png"/><Relationship Id="rId19" Type="http://schemas.openxmlformats.org/officeDocument/2006/relationships/chart" Target="../charts/chart3.xml"/><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hyperlink" Target="#'Dashboard(1)'!A1"/></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2.svg"/><Relationship Id="rId18" Type="http://schemas.openxmlformats.org/officeDocument/2006/relationships/chart" Target="../charts/chart7.xml"/><Relationship Id="rId3" Type="http://schemas.openxmlformats.org/officeDocument/2006/relationships/hyperlink" Target="#'Dashboard(2)'!A1"/><Relationship Id="rId21" Type="http://schemas.openxmlformats.org/officeDocument/2006/relationships/chart" Target="../charts/chart10.xml"/><Relationship Id="rId7" Type="http://schemas.openxmlformats.org/officeDocument/2006/relationships/image" Target="../media/image6.svg"/><Relationship Id="rId12" Type="http://schemas.openxmlformats.org/officeDocument/2006/relationships/image" Target="../media/image11.png"/><Relationship Id="rId17" Type="http://schemas.openxmlformats.org/officeDocument/2006/relationships/chart" Target="../charts/chart6.xml"/><Relationship Id="rId2" Type="http://schemas.openxmlformats.org/officeDocument/2006/relationships/image" Target="../media/image2.svg"/><Relationship Id="rId16" Type="http://schemas.openxmlformats.org/officeDocument/2006/relationships/image" Target="../media/image18.svg"/><Relationship Id="rId20"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17.svg"/><Relationship Id="rId15" Type="http://schemas.openxmlformats.org/officeDocument/2006/relationships/image" Target="../media/image3.png"/><Relationship Id="rId10" Type="http://schemas.openxmlformats.org/officeDocument/2006/relationships/image" Target="../media/image9.png"/><Relationship Id="rId19" Type="http://schemas.openxmlformats.org/officeDocument/2006/relationships/chart" Target="../charts/chart8.xml"/><Relationship Id="rId4" Type="http://schemas.openxmlformats.org/officeDocument/2006/relationships/image" Target="../media/image16.png"/><Relationship Id="rId9" Type="http://schemas.openxmlformats.org/officeDocument/2006/relationships/image" Target="../media/image8.svg"/><Relationship Id="rId14" Type="http://schemas.openxmlformats.org/officeDocument/2006/relationships/hyperlink" Target="#'Dashboard(1)'!A1"/></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0</xdr:col>
      <xdr:colOff>10886</xdr:colOff>
      <xdr:row>0</xdr:row>
      <xdr:rowOff>32657</xdr:rowOff>
    </xdr:from>
    <xdr:to>
      <xdr:col>26</xdr:col>
      <xdr:colOff>76200</xdr:colOff>
      <xdr:row>65</xdr:row>
      <xdr:rowOff>10886</xdr:rowOff>
    </xdr:to>
    <xdr:sp macro="" textlink="">
      <xdr:nvSpPr>
        <xdr:cNvPr id="2" name="Rectangle: Rounded Corners 1">
          <a:extLst>
            <a:ext uri="{FF2B5EF4-FFF2-40B4-BE49-F238E27FC236}">
              <a16:creationId xmlns:a16="http://schemas.microsoft.com/office/drawing/2014/main" id="{8ACF7A81-F2A3-89F0-2E11-0983886688C7}"/>
            </a:ext>
          </a:extLst>
        </xdr:cNvPr>
        <xdr:cNvSpPr/>
      </xdr:nvSpPr>
      <xdr:spPr>
        <a:xfrm>
          <a:off x="10886" y="32657"/>
          <a:ext cx="15914914" cy="12006943"/>
        </a:xfrm>
        <a:prstGeom prst="roundRect">
          <a:avLst>
            <a:gd name="adj" fmla="val 2000"/>
          </a:avLst>
        </a:prstGeom>
        <a:solidFill>
          <a:srgbClr val="065A5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108190</xdr:colOff>
      <xdr:row>0</xdr:row>
      <xdr:rowOff>60961</xdr:rowOff>
    </xdr:from>
    <xdr:to>
      <xdr:col>26</xdr:col>
      <xdr:colOff>65313</xdr:colOff>
      <xdr:row>64</xdr:row>
      <xdr:rowOff>54430</xdr:rowOff>
    </xdr:to>
    <xdr:grpSp>
      <xdr:nvGrpSpPr>
        <xdr:cNvPr id="55" name="Group 54">
          <a:extLst>
            <a:ext uri="{FF2B5EF4-FFF2-40B4-BE49-F238E27FC236}">
              <a16:creationId xmlns:a16="http://schemas.microsoft.com/office/drawing/2014/main" id="{457A2F94-B8AB-E633-3A4B-488A70997660}"/>
            </a:ext>
          </a:extLst>
        </xdr:cNvPr>
        <xdr:cNvGrpSpPr/>
      </xdr:nvGrpSpPr>
      <xdr:grpSpPr>
        <a:xfrm>
          <a:off x="1327390" y="60961"/>
          <a:ext cx="14587523" cy="11837126"/>
          <a:chOff x="1327391" y="0"/>
          <a:chExt cx="14260953" cy="12718143"/>
        </a:xfrm>
      </xdr:grpSpPr>
      <xdr:sp macro="" textlink="">
        <xdr:nvSpPr>
          <xdr:cNvPr id="3" name="Rectangle: Rounded Corners 2">
            <a:extLst>
              <a:ext uri="{FF2B5EF4-FFF2-40B4-BE49-F238E27FC236}">
                <a16:creationId xmlns:a16="http://schemas.microsoft.com/office/drawing/2014/main" id="{A3E4441F-FE24-417A-BDED-D014AA7CB272}"/>
              </a:ext>
            </a:extLst>
          </xdr:cNvPr>
          <xdr:cNvSpPr/>
        </xdr:nvSpPr>
        <xdr:spPr>
          <a:xfrm>
            <a:off x="1327391" y="0"/>
            <a:ext cx="14260953" cy="12718143"/>
          </a:xfrm>
          <a:prstGeom prst="roundRect">
            <a:avLst>
              <a:gd name="adj" fmla="val 1645"/>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11">
            <a:extLst>
              <a:ext uri="{FF2B5EF4-FFF2-40B4-BE49-F238E27FC236}">
                <a16:creationId xmlns:a16="http://schemas.microsoft.com/office/drawing/2014/main" id="{E7B8E69A-01E8-DD04-52C7-797AF0870840}"/>
              </a:ext>
            </a:extLst>
          </xdr:cNvPr>
          <xdr:cNvSpPr/>
        </xdr:nvSpPr>
        <xdr:spPr>
          <a:xfrm>
            <a:off x="1400629" y="3309258"/>
            <a:ext cx="14078857" cy="9095687"/>
          </a:xfrm>
          <a:prstGeom prst="rect">
            <a:avLst/>
          </a:prstGeom>
          <a:noFill/>
          <a:ln>
            <a:noFill/>
          </a:ln>
        </xdr:spPr>
        <xdr:style>
          <a:lnRef idx="0">
            <a:scrgbClr r="0" g="0" b="0"/>
          </a:lnRef>
          <a:fillRef idx="0">
            <a:scrgbClr r="0" g="0" b="0"/>
          </a:fillRef>
          <a:effectRef idx="0">
            <a:scrgbClr r="0" g="0" b="0"/>
          </a:effectRef>
          <a:fontRef idx="minor">
            <a:schemeClr val="accent6"/>
          </a:fontRef>
        </xdr:style>
        <xdr:txBody>
          <a:bodyPr vertOverflow="clip" horzOverflow="clip" rtlCol="0" anchor="t"/>
          <a:lstStyle/>
          <a:p>
            <a:pPr algn="l"/>
            <a:endParaRPr lang="en-US" sz="1100"/>
          </a:p>
        </xdr:txBody>
      </xdr:sp>
    </xdr:grpSp>
    <xdr:clientData/>
  </xdr:twoCellAnchor>
  <xdr:twoCellAnchor editAs="oneCell">
    <xdr:from>
      <xdr:col>0</xdr:col>
      <xdr:colOff>224971</xdr:colOff>
      <xdr:row>3</xdr:row>
      <xdr:rowOff>87086</xdr:rowOff>
    </xdr:from>
    <xdr:to>
      <xdr:col>1</xdr:col>
      <xdr:colOff>529771</xdr:colOff>
      <xdr:row>8</xdr:row>
      <xdr:rowOff>76200</xdr:rowOff>
    </xdr:to>
    <xdr:pic>
      <xdr:nvPicPr>
        <xdr:cNvPr id="44" name="Graphic 43" descr="Car with solid fill">
          <a:extLst>
            <a:ext uri="{FF2B5EF4-FFF2-40B4-BE49-F238E27FC236}">
              <a16:creationId xmlns:a16="http://schemas.microsoft.com/office/drawing/2014/main" id="{58296567-F729-41EB-BB11-9E112620B16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24971" y="642257"/>
          <a:ext cx="914400" cy="914400"/>
        </a:xfrm>
        <a:prstGeom prst="rect">
          <a:avLst/>
        </a:prstGeom>
      </xdr:spPr>
    </xdr:pic>
    <xdr:clientData/>
  </xdr:twoCellAnchor>
  <xdr:twoCellAnchor editAs="oneCell">
    <xdr:from>
      <xdr:col>0</xdr:col>
      <xdr:colOff>261258</xdr:colOff>
      <xdr:row>22</xdr:row>
      <xdr:rowOff>130628</xdr:rowOff>
    </xdr:from>
    <xdr:to>
      <xdr:col>1</xdr:col>
      <xdr:colOff>489858</xdr:colOff>
      <xdr:row>27</xdr:row>
      <xdr:rowOff>43542</xdr:rowOff>
    </xdr:to>
    <xdr:pic>
      <xdr:nvPicPr>
        <xdr:cNvPr id="46" name="Graphic 45" descr="Chevron arrows with solid fill">
          <a:hlinkClick xmlns:r="http://schemas.openxmlformats.org/officeDocument/2006/relationships" r:id="rId3"/>
          <a:extLst>
            <a:ext uri="{FF2B5EF4-FFF2-40B4-BE49-F238E27FC236}">
              <a16:creationId xmlns:a16="http://schemas.microsoft.com/office/drawing/2014/main" id="{1FFCC5F4-139F-38F2-BB98-AF767804188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1258" y="4201885"/>
          <a:ext cx="838200" cy="838200"/>
        </a:xfrm>
        <a:prstGeom prst="rect">
          <a:avLst/>
        </a:prstGeom>
      </xdr:spPr>
    </xdr:pic>
    <xdr:clientData/>
  </xdr:twoCellAnchor>
  <xdr:twoCellAnchor>
    <xdr:from>
      <xdr:col>2</xdr:col>
      <xdr:colOff>239489</xdr:colOff>
      <xdr:row>0</xdr:row>
      <xdr:rowOff>163287</xdr:rowOff>
    </xdr:from>
    <xdr:to>
      <xdr:col>25</xdr:col>
      <xdr:colOff>249708</xdr:colOff>
      <xdr:row>16</xdr:row>
      <xdr:rowOff>119744</xdr:rowOff>
    </xdr:to>
    <xdr:grpSp>
      <xdr:nvGrpSpPr>
        <xdr:cNvPr id="54" name="Group 53">
          <a:extLst>
            <a:ext uri="{FF2B5EF4-FFF2-40B4-BE49-F238E27FC236}">
              <a16:creationId xmlns:a16="http://schemas.microsoft.com/office/drawing/2014/main" id="{F2AB6B78-A721-93F1-D7A4-42DC5F983B28}"/>
            </a:ext>
          </a:extLst>
        </xdr:cNvPr>
        <xdr:cNvGrpSpPr/>
      </xdr:nvGrpSpPr>
      <xdr:grpSpPr>
        <a:xfrm>
          <a:off x="1458689" y="163287"/>
          <a:ext cx="14031019" cy="2917371"/>
          <a:chOff x="1491346" y="32659"/>
          <a:chExt cx="14031019" cy="2917371"/>
        </a:xfrm>
      </xdr:grpSpPr>
      <xdr:grpSp>
        <xdr:nvGrpSpPr>
          <xdr:cNvPr id="20" name="Group 19">
            <a:extLst>
              <a:ext uri="{FF2B5EF4-FFF2-40B4-BE49-F238E27FC236}">
                <a16:creationId xmlns:a16="http://schemas.microsoft.com/office/drawing/2014/main" id="{EA372B3E-7B13-489F-7F93-259185F2397D}"/>
              </a:ext>
            </a:extLst>
          </xdr:cNvPr>
          <xdr:cNvGrpSpPr/>
        </xdr:nvGrpSpPr>
        <xdr:grpSpPr>
          <a:xfrm>
            <a:off x="1491346" y="32659"/>
            <a:ext cx="2656114" cy="2917371"/>
            <a:chOff x="1491346" y="32659"/>
            <a:chExt cx="2656114" cy="2808514"/>
          </a:xfrm>
        </xdr:grpSpPr>
        <xdr:sp macro="" textlink="">
          <xdr:nvSpPr>
            <xdr:cNvPr id="4" name="Rectangle: Rounded Corners 3">
              <a:extLst>
                <a:ext uri="{FF2B5EF4-FFF2-40B4-BE49-F238E27FC236}">
                  <a16:creationId xmlns:a16="http://schemas.microsoft.com/office/drawing/2014/main" id="{C03B5DAA-F3CE-B32C-985E-666F8F8E9DBE}"/>
                </a:ext>
              </a:extLst>
            </xdr:cNvPr>
            <xdr:cNvSpPr/>
          </xdr:nvSpPr>
          <xdr:spPr>
            <a:xfrm>
              <a:off x="1491346" y="32659"/>
              <a:ext cx="2656114" cy="2808514"/>
            </a:xfrm>
            <a:prstGeom prst="roundRect">
              <a:avLst/>
            </a:prstGeom>
            <a:solidFill>
              <a:schemeClr val="bg1"/>
            </a:solidFill>
            <a:ln>
              <a:solidFill>
                <a:schemeClr val="bg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19" name="Brand 1">
                  <a:extLst>
                    <a:ext uri="{FF2B5EF4-FFF2-40B4-BE49-F238E27FC236}">
                      <a16:creationId xmlns:a16="http://schemas.microsoft.com/office/drawing/2014/main" id="{710750E0-82AB-4989-AACB-3F49F446C214}"/>
                    </a:ext>
                  </a:extLst>
                </xdr:cNvPr>
                <xdr:cNvGraphicFramePr/>
              </xdr:nvGraphicFramePr>
              <xdr:xfrm>
                <a:off x="1651000" y="177799"/>
                <a:ext cx="2247900" cy="2526847"/>
              </xdr:xfrm>
              <a:graphic>
                <a:graphicData uri="http://schemas.microsoft.com/office/drawing/2010/slicer">
                  <sle:slicer xmlns:sle="http://schemas.microsoft.com/office/drawing/2010/slicer" name="Brand 1"/>
                </a:graphicData>
              </a:graphic>
            </xdr:graphicFrame>
          </mc:Choice>
          <mc:Fallback>
            <xdr:sp macro="" textlink="">
              <xdr:nvSpPr>
                <xdr:cNvPr id="0" name=""/>
                <xdr:cNvSpPr>
                  <a:spLocks noTextEdit="1"/>
                </xdr:cNvSpPr>
              </xdr:nvSpPr>
              <xdr:spPr>
                <a:xfrm>
                  <a:off x="1618343" y="314053"/>
                  <a:ext cx="2247900" cy="26247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22" name="Group 21">
            <a:extLst>
              <a:ext uri="{FF2B5EF4-FFF2-40B4-BE49-F238E27FC236}">
                <a16:creationId xmlns:a16="http://schemas.microsoft.com/office/drawing/2014/main" id="{748E48CA-100A-A61A-5306-137DCFCE3BEB}"/>
              </a:ext>
            </a:extLst>
          </xdr:cNvPr>
          <xdr:cNvGrpSpPr/>
        </xdr:nvGrpSpPr>
        <xdr:grpSpPr>
          <a:xfrm>
            <a:off x="12866251" y="32659"/>
            <a:ext cx="2656114" cy="2917371"/>
            <a:chOff x="12866251" y="32659"/>
            <a:chExt cx="2656114" cy="2808514"/>
          </a:xfrm>
        </xdr:grpSpPr>
        <xdr:sp macro="" textlink="">
          <xdr:nvSpPr>
            <xdr:cNvPr id="8" name="Rectangle: Rounded Corners 7">
              <a:extLst>
                <a:ext uri="{FF2B5EF4-FFF2-40B4-BE49-F238E27FC236}">
                  <a16:creationId xmlns:a16="http://schemas.microsoft.com/office/drawing/2014/main" id="{194D968C-26FF-46E7-B810-6544F7F9DED1}"/>
                </a:ext>
              </a:extLst>
            </xdr:cNvPr>
            <xdr:cNvSpPr/>
          </xdr:nvSpPr>
          <xdr:spPr>
            <a:xfrm>
              <a:off x="12866251" y="32659"/>
              <a:ext cx="2656114" cy="2808514"/>
            </a:xfrm>
            <a:prstGeom prst="roundRect">
              <a:avLst/>
            </a:prstGeom>
            <a:solidFill>
              <a:schemeClr val="bg1"/>
            </a:solidFill>
            <a:ln>
              <a:solidFill>
                <a:schemeClr val="bg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21" name="State 1">
                  <a:extLst>
                    <a:ext uri="{FF2B5EF4-FFF2-40B4-BE49-F238E27FC236}">
                      <a16:creationId xmlns:a16="http://schemas.microsoft.com/office/drawing/2014/main" id="{C05C0C2F-024E-4525-8AA5-302C26FFE3E6}"/>
                    </a:ext>
                  </a:extLst>
                </xdr:cNvPr>
                <xdr:cNvGraphicFramePr/>
              </xdr:nvGraphicFramePr>
              <xdr:xfrm>
                <a:off x="12966700" y="177800"/>
                <a:ext cx="2463800" cy="238760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12934043" y="314054"/>
                  <a:ext cx="2463800" cy="24801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24" name="Group 23">
            <a:extLst>
              <a:ext uri="{FF2B5EF4-FFF2-40B4-BE49-F238E27FC236}">
                <a16:creationId xmlns:a16="http://schemas.microsoft.com/office/drawing/2014/main" id="{6A603019-B039-D9BD-3B73-7CD52244AB06}"/>
              </a:ext>
            </a:extLst>
          </xdr:cNvPr>
          <xdr:cNvGrpSpPr/>
        </xdr:nvGrpSpPr>
        <xdr:grpSpPr>
          <a:xfrm>
            <a:off x="4343068" y="32659"/>
            <a:ext cx="8327576" cy="1099456"/>
            <a:chOff x="4343068" y="32659"/>
            <a:chExt cx="8327576" cy="1055913"/>
          </a:xfrm>
        </xdr:grpSpPr>
        <xdr:sp macro="" textlink="">
          <xdr:nvSpPr>
            <xdr:cNvPr id="6" name="Rectangle: Rounded Corners 5">
              <a:extLst>
                <a:ext uri="{FF2B5EF4-FFF2-40B4-BE49-F238E27FC236}">
                  <a16:creationId xmlns:a16="http://schemas.microsoft.com/office/drawing/2014/main" id="{B6F5B3B8-0691-4682-BA28-07EA6D883CAD}"/>
                </a:ext>
              </a:extLst>
            </xdr:cNvPr>
            <xdr:cNvSpPr/>
          </xdr:nvSpPr>
          <xdr:spPr>
            <a:xfrm>
              <a:off x="4343068" y="32659"/>
              <a:ext cx="8327576" cy="1055913"/>
            </a:xfrm>
            <a:prstGeom prst="roundRect">
              <a:avLst/>
            </a:prstGeom>
            <a:solidFill>
              <a:schemeClr val="bg1"/>
            </a:solidFill>
            <a:ln>
              <a:solidFill>
                <a:schemeClr val="bg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TextBox 22">
              <a:extLst>
                <a:ext uri="{FF2B5EF4-FFF2-40B4-BE49-F238E27FC236}">
                  <a16:creationId xmlns:a16="http://schemas.microsoft.com/office/drawing/2014/main" id="{11C8F8EC-2BA6-4BF0-664D-DE2D8126830F}"/>
                </a:ext>
              </a:extLst>
            </xdr:cNvPr>
            <xdr:cNvSpPr txBox="1"/>
          </xdr:nvSpPr>
          <xdr:spPr>
            <a:xfrm>
              <a:off x="4826000" y="165100"/>
              <a:ext cx="7137400" cy="711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latin typeface="Calibri" panose="020F0502020204030204" pitchFamily="34" charset="0"/>
                  <a:ea typeface="Calibri" panose="020F0502020204030204" pitchFamily="34" charset="0"/>
                  <a:cs typeface="Calibri" panose="020F0502020204030204" pitchFamily="34" charset="0"/>
                </a:rPr>
                <a:t>Car</a:t>
              </a:r>
              <a:r>
                <a:rPr lang="en-US" sz="3600" b="1" cap="none" spc="0" baseline="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latin typeface="Calibri" panose="020F0502020204030204" pitchFamily="34" charset="0"/>
                  <a:ea typeface="Calibri" panose="020F0502020204030204" pitchFamily="34" charset="0"/>
                  <a:cs typeface="Calibri" panose="020F0502020204030204" pitchFamily="34" charset="0"/>
                </a:rPr>
                <a:t> Sales Analysis Dashboard</a:t>
              </a:r>
              <a:endParaRPr lang="en-US" sz="36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latin typeface="Calibri" panose="020F0502020204030204" pitchFamily="34" charset="0"/>
                <a:ea typeface="Calibri" panose="020F0502020204030204" pitchFamily="34" charset="0"/>
                <a:cs typeface="Calibri" panose="020F0502020204030204" pitchFamily="34" charset="0"/>
              </a:endParaRPr>
            </a:p>
          </xdr:txBody>
        </xdr:sp>
      </xdr:grpSp>
      <xdr:grpSp>
        <xdr:nvGrpSpPr>
          <xdr:cNvPr id="53" name="Group 52">
            <a:extLst>
              <a:ext uri="{FF2B5EF4-FFF2-40B4-BE49-F238E27FC236}">
                <a16:creationId xmlns:a16="http://schemas.microsoft.com/office/drawing/2014/main" id="{0889E5CD-6F39-A6C2-512F-A27D98BC572B}"/>
              </a:ext>
            </a:extLst>
          </xdr:cNvPr>
          <xdr:cNvGrpSpPr/>
        </xdr:nvGrpSpPr>
        <xdr:grpSpPr>
          <a:xfrm>
            <a:off x="10831711" y="1333501"/>
            <a:ext cx="1785923" cy="1382487"/>
            <a:chOff x="10831711" y="1333501"/>
            <a:chExt cx="1785923" cy="1382487"/>
          </a:xfrm>
        </xdr:grpSpPr>
        <xdr:grpSp>
          <xdr:nvGrpSpPr>
            <xdr:cNvPr id="33" name="Group 32">
              <a:extLst>
                <a:ext uri="{FF2B5EF4-FFF2-40B4-BE49-F238E27FC236}">
                  <a16:creationId xmlns:a16="http://schemas.microsoft.com/office/drawing/2014/main" id="{41D24D3F-4B32-9D4E-8B95-C2955CB009E9}"/>
                </a:ext>
              </a:extLst>
            </xdr:cNvPr>
            <xdr:cNvGrpSpPr/>
          </xdr:nvGrpSpPr>
          <xdr:grpSpPr>
            <a:xfrm>
              <a:off x="10831711" y="1333501"/>
              <a:ext cx="1785923" cy="1382487"/>
              <a:chOff x="10799054" y="1318261"/>
              <a:chExt cx="1785923" cy="1367247"/>
            </a:xfrm>
          </xdr:grpSpPr>
          <xdr:sp macro="" textlink="">
            <xdr:nvSpPr>
              <xdr:cNvPr id="9" name="Rectangle: Rounded Corners 8">
                <a:extLst>
                  <a:ext uri="{FF2B5EF4-FFF2-40B4-BE49-F238E27FC236}">
                    <a16:creationId xmlns:a16="http://schemas.microsoft.com/office/drawing/2014/main" id="{82189CF2-58CC-4683-B520-612D7EC4C54F}"/>
                  </a:ext>
                </a:extLst>
              </xdr:cNvPr>
              <xdr:cNvSpPr/>
            </xdr:nvSpPr>
            <xdr:spPr>
              <a:xfrm>
                <a:off x="10799054" y="1318261"/>
                <a:ext cx="1785923" cy="1367247"/>
              </a:xfrm>
              <a:prstGeom prst="roundRect">
                <a:avLst/>
              </a:prstGeom>
              <a:gradFill flip="none" rotWithShape="1">
                <a:gsLst>
                  <a:gs pos="32000">
                    <a:srgbClr val="1C948E"/>
                  </a:gs>
                  <a:gs pos="0">
                    <a:srgbClr val="F3FBF9"/>
                  </a:gs>
                  <a:gs pos="48000">
                    <a:srgbClr val="097B19"/>
                  </a:gs>
                  <a:gs pos="75000">
                    <a:srgbClr val="097B19"/>
                  </a:gs>
                  <a:gs pos="87000">
                    <a:schemeClr val="accent1">
                      <a:lumMod val="30000"/>
                      <a:lumOff val="70000"/>
                    </a:schemeClr>
                  </a:gs>
                </a:gsLst>
                <a:lin ang="5400000" scaled="1"/>
                <a:tileRect/>
              </a:gradFill>
              <a:ln>
                <a:solidFill>
                  <a:schemeClr val="bg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TextBox 28">
                <a:extLst>
                  <a:ext uri="{FF2B5EF4-FFF2-40B4-BE49-F238E27FC236}">
                    <a16:creationId xmlns:a16="http://schemas.microsoft.com/office/drawing/2014/main" id="{F7403016-6678-43E9-BC58-635A4D84415C}"/>
                  </a:ext>
                </a:extLst>
              </xdr:cNvPr>
              <xdr:cNvSpPr txBox="1"/>
            </xdr:nvSpPr>
            <xdr:spPr>
              <a:xfrm>
                <a:off x="10882874" y="1361441"/>
                <a:ext cx="1587500" cy="416560"/>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US" sz="1600"/>
                  <a:t>Avg.Selling Price </a:t>
                </a:r>
              </a:p>
            </xdr:txBody>
          </xdr:sp>
        </xdr:grpSp>
        <xdr:sp macro="" textlink="KPIs!E3">
          <xdr:nvSpPr>
            <xdr:cNvPr id="37" name="TextBox 36">
              <a:extLst>
                <a:ext uri="{FF2B5EF4-FFF2-40B4-BE49-F238E27FC236}">
                  <a16:creationId xmlns:a16="http://schemas.microsoft.com/office/drawing/2014/main" id="{69316AEB-2C2E-43A8-B856-B596C35EC37D}"/>
                </a:ext>
              </a:extLst>
            </xdr:cNvPr>
            <xdr:cNvSpPr txBox="1"/>
          </xdr:nvSpPr>
          <xdr:spPr>
            <a:xfrm>
              <a:off x="11448931" y="1881052"/>
              <a:ext cx="1133866" cy="570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8B54AA-830D-4957-B8F2-7890CD8C91E0}" type="TxLink">
                <a:rPr lang="en-US" sz="2000" b="0" i="0" u="none" strike="noStrike">
                  <a:solidFill>
                    <a:srgbClr val="000000"/>
                  </a:solidFill>
                  <a:latin typeface="Aptos Narrow"/>
                </a:rPr>
                <a:pPr algn="ctr"/>
                <a:t> $61,384 </a:t>
              </a:fld>
              <a:endParaRPr lang="en-US" sz="4000"/>
            </a:p>
          </xdr:txBody>
        </xdr:sp>
        <xdr:pic>
          <xdr:nvPicPr>
            <xdr:cNvPr id="39" name="Graphic 38" descr="Bar chart with solid fill">
              <a:extLst>
                <a:ext uri="{FF2B5EF4-FFF2-40B4-BE49-F238E27FC236}">
                  <a16:creationId xmlns:a16="http://schemas.microsoft.com/office/drawing/2014/main" id="{786D20E7-F0AE-6E60-011F-06C51087BFD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1005458" y="1948543"/>
              <a:ext cx="451820" cy="457200"/>
            </a:xfrm>
            <a:prstGeom prst="rect">
              <a:avLst/>
            </a:prstGeom>
          </xdr:spPr>
        </xdr:pic>
      </xdr:grpSp>
      <xdr:grpSp>
        <xdr:nvGrpSpPr>
          <xdr:cNvPr id="50" name="Group 49">
            <a:extLst>
              <a:ext uri="{FF2B5EF4-FFF2-40B4-BE49-F238E27FC236}">
                <a16:creationId xmlns:a16="http://schemas.microsoft.com/office/drawing/2014/main" id="{264AC044-C4E8-19A8-9B02-FF072FB7E9FC}"/>
              </a:ext>
            </a:extLst>
          </xdr:cNvPr>
          <xdr:cNvGrpSpPr/>
        </xdr:nvGrpSpPr>
        <xdr:grpSpPr>
          <a:xfrm>
            <a:off x="4582223" y="1333501"/>
            <a:ext cx="1982951" cy="1382487"/>
            <a:chOff x="4582223" y="1333501"/>
            <a:chExt cx="1982951" cy="1382487"/>
          </a:xfrm>
        </xdr:grpSpPr>
        <xdr:grpSp>
          <xdr:nvGrpSpPr>
            <xdr:cNvPr id="30" name="Group 29">
              <a:extLst>
                <a:ext uri="{FF2B5EF4-FFF2-40B4-BE49-F238E27FC236}">
                  <a16:creationId xmlns:a16="http://schemas.microsoft.com/office/drawing/2014/main" id="{A977B2FF-73CE-32F3-1C12-AA389EC4E947}"/>
                </a:ext>
              </a:extLst>
            </xdr:cNvPr>
            <xdr:cNvGrpSpPr/>
          </xdr:nvGrpSpPr>
          <xdr:grpSpPr>
            <a:xfrm>
              <a:off x="4582223" y="1333501"/>
              <a:ext cx="1927439" cy="1382487"/>
              <a:chOff x="4582223" y="1318261"/>
              <a:chExt cx="1927439" cy="1367247"/>
            </a:xfrm>
          </xdr:grpSpPr>
          <xdr:sp macro="" textlink="">
            <xdr:nvSpPr>
              <xdr:cNvPr id="5" name="Rectangle: Rounded Corners 4">
                <a:extLst>
                  <a:ext uri="{FF2B5EF4-FFF2-40B4-BE49-F238E27FC236}">
                    <a16:creationId xmlns:a16="http://schemas.microsoft.com/office/drawing/2014/main" id="{A19DBA5D-2CE9-4AC3-AE67-0DAF9AD6778E}"/>
                  </a:ext>
                </a:extLst>
              </xdr:cNvPr>
              <xdr:cNvSpPr/>
            </xdr:nvSpPr>
            <xdr:spPr>
              <a:xfrm>
                <a:off x="4582223" y="1318261"/>
                <a:ext cx="1927439" cy="1367247"/>
              </a:xfrm>
              <a:prstGeom prst="roundRect">
                <a:avLst/>
              </a:prstGeom>
              <a:gradFill flip="none" rotWithShape="1">
                <a:gsLst>
                  <a:gs pos="32000">
                    <a:srgbClr val="1C948E"/>
                  </a:gs>
                  <a:gs pos="0">
                    <a:srgbClr val="F3FBF9"/>
                  </a:gs>
                  <a:gs pos="48000">
                    <a:srgbClr val="097B19"/>
                  </a:gs>
                  <a:gs pos="75000">
                    <a:srgbClr val="097B19"/>
                  </a:gs>
                  <a:gs pos="87000">
                    <a:schemeClr val="accent1">
                      <a:lumMod val="30000"/>
                      <a:lumOff val="70000"/>
                    </a:schemeClr>
                  </a:gs>
                </a:gsLst>
                <a:lin ang="5400000" scaled="1"/>
                <a:tileRect/>
              </a:gradFill>
              <a:ln>
                <a:solidFill>
                  <a:schemeClr val="bg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TextBox 24">
                <a:extLst>
                  <a:ext uri="{FF2B5EF4-FFF2-40B4-BE49-F238E27FC236}">
                    <a16:creationId xmlns:a16="http://schemas.microsoft.com/office/drawing/2014/main" id="{3F85ED13-232A-CD28-A76E-1CD1A9B70D9A}"/>
                  </a:ext>
                </a:extLst>
              </xdr:cNvPr>
              <xdr:cNvSpPr txBox="1"/>
            </xdr:nvSpPr>
            <xdr:spPr>
              <a:xfrm>
                <a:off x="4749800" y="1356360"/>
                <a:ext cx="1587500" cy="416560"/>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US" sz="1600"/>
                  <a:t>Total Sales </a:t>
                </a:r>
              </a:p>
            </xdr:txBody>
          </xdr:sp>
        </xdr:grpSp>
        <xdr:sp macro="" textlink="KPIs!B3">
          <xdr:nvSpPr>
            <xdr:cNvPr id="34" name="TextBox 33">
              <a:extLst>
                <a:ext uri="{FF2B5EF4-FFF2-40B4-BE49-F238E27FC236}">
                  <a16:creationId xmlns:a16="http://schemas.microsoft.com/office/drawing/2014/main" id="{92DB8070-AA64-D8C4-1B02-D491E33EA85C}"/>
                </a:ext>
              </a:extLst>
            </xdr:cNvPr>
            <xdr:cNvSpPr txBox="1"/>
          </xdr:nvSpPr>
          <xdr:spPr>
            <a:xfrm>
              <a:off x="4987834" y="1881051"/>
              <a:ext cx="1577340" cy="570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0CCC23-FEAE-44F2-9DA5-56268554F1F4}" type="TxLink">
                <a:rPr lang="en-US" sz="2000" b="0" i="0" u="none" strike="noStrike">
                  <a:solidFill>
                    <a:srgbClr val="000000"/>
                  </a:solidFill>
                  <a:latin typeface="Aptos Narrow"/>
                </a:rPr>
                <a:pPr algn="ctr"/>
                <a:t> $48,102,000 </a:t>
              </a:fld>
              <a:endParaRPr lang="en-US" sz="2000"/>
            </a:p>
          </xdr:txBody>
        </xdr:sp>
        <xdr:pic>
          <xdr:nvPicPr>
            <xdr:cNvPr id="41" name="Graphic 40" descr="Money with solid fill">
              <a:extLst>
                <a:ext uri="{FF2B5EF4-FFF2-40B4-BE49-F238E27FC236}">
                  <a16:creationId xmlns:a16="http://schemas.microsoft.com/office/drawing/2014/main" id="{AAEA2E3C-0BB6-F728-3E74-4029285C906C}"/>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4648203" y="1915885"/>
              <a:ext cx="457200" cy="457200"/>
            </a:xfrm>
            <a:prstGeom prst="rect">
              <a:avLst/>
            </a:prstGeom>
          </xdr:spPr>
        </xdr:pic>
      </xdr:grpSp>
      <xdr:grpSp>
        <xdr:nvGrpSpPr>
          <xdr:cNvPr id="51" name="Group 50">
            <a:extLst>
              <a:ext uri="{FF2B5EF4-FFF2-40B4-BE49-F238E27FC236}">
                <a16:creationId xmlns:a16="http://schemas.microsoft.com/office/drawing/2014/main" id="{CFB3CB26-023B-CEEA-F6E6-3FB8D5E50774}"/>
              </a:ext>
            </a:extLst>
          </xdr:cNvPr>
          <xdr:cNvGrpSpPr/>
        </xdr:nvGrpSpPr>
        <xdr:grpSpPr>
          <a:xfrm>
            <a:off x="6683166" y="1333501"/>
            <a:ext cx="1873009" cy="1382487"/>
            <a:chOff x="6683166" y="1333501"/>
            <a:chExt cx="1873009" cy="1382487"/>
          </a:xfrm>
        </xdr:grpSpPr>
        <xdr:grpSp>
          <xdr:nvGrpSpPr>
            <xdr:cNvPr id="31" name="Group 30">
              <a:extLst>
                <a:ext uri="{FF2B5EF4-FFF2-40B4-BE49-F238E27FC236}">
                  <a16:creationId xmlns:a16="http://schemas.microsoft.com/office/drawing/2014/main" id="{3EF90729-8954-DFA7-43DA-867E399B08C1}"/>
                </a:ext>
              </a:extLst>
            </xdr:cNvPr>
            <xdr:cNvGrpSpPr/>
          </xdr:nvGrpSpPr>
          <xdr:grpSpPr>
            <a:xfrm>
              <a:off x="6683166" y="1333501"/>
              <a:ext cx="1873009" cy="1382487"/>
              <a:chOff x="6683166" y="1318261"/>
              <a:chExt cx="1873009" cy="1367247"/>
            </a:xfrm>
          </xdr:grpSpPr>
          <xdr:sp macro="" textlink="">
            <xdr:nvSpPr>
              <xdr:cNvPr id="11" name="Rectangle: Rounded Corners 10">
                <a:extLst>
                  <a:ext uri="{FF2B5EF4-FFF2-40B4-BE49-F238E27FC236}">
                    <a16:creationId xmlns:a16="http://schemas.microsoft.com/office/drawing/2014/main" id="{7B59E8FD-8AAB-45DD-B04F-809DFE35BCF3}"/>
                  </a:ext>
                </a:extLst>
              </xdr:cNvPr>
              <xdr:cNvSpPr/>
            </xdr:nvSpPr>
            <xdr:spPr>
              <a:xfrm>
                <a:off x="6683166" y="1318261"/>
                <a:ext cx="1873009" cy="1367247"/>
              </a:xfrm>
              <a:prstGeom prst="roundRect">
                <a:avLst/>
              </a:prstGeom>
              <a:gradFill flip="none" rotWithShape="1">
                <a:gsLst>
                  <a:gs pos="32000">
                    <a:srgbClr val="1C948E"/>
                  </a:gs>
                  <a:gs pos="0">
                    <a:srgbClr val="F3FBF9"/>
                  </a:gs>
                  <a:gs pos="48000">
                    <a:srgbClr val="097B19"/>
                  </a:gs>
                  <a:gs pos="75000">
                    <a:srgbClr val="097B19"/>
                  </a:gs>
                  <a:gs pos="87000">
                    <a:schemeClr val="accent1">
                      <a:lumMod val="30000"/>
                      <a:lumOff val="70000"/>
                    </a:schemeClr>
                  </a:gs>
                </a:gsLst>
                <a:lin ang="5400000" scaled="1"/>
                <a:tileRect/>
              </a:gradFill>
              <a:ln>
                <a:solidFill>
                  <a:schemeClr val="bg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TextBox 26">
                <a:extLst>
                  <a:ext uri="{FF2B5EF4-FFF2-40B4-BE49-F238E27FC236}">
                    <a16:creationId xmlns:a16="http://schemas.microsoft.com/office/drawing/2014/main" id="{BBF44042-5374-451A-8204-2E5FE024D172}"/>
                  </a:ext>
                </a:extLst>
              </xdr:cNvPr>
              <xdr:cNvSpPr txBox="1"/>
            </xdr:nvSpPr>
            <xdr:spPr>
              <a:xfrm>
                <a:off x="6751746" y="1353821"/>
                <a:ext cx="1587500" cy="416560"/>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US" sz="1600"/>
                  <a:t>No.of Cars Sold </a:t>
                </a:r>
              </a:p>
            </xdr:txBody>
          </xdr:sp>
        </xdr:grpSp>
        <xdr:sp macro="" textlink="KPIs!C3">
          <xdr:nvSpPr>
            <xdr:cNvPr id="35" name="TextBox 34">
              <a:extLst>
                <a:ext uri="{FF2B5EF4-FFF2-40B4-BE49-F238E27FC236}">
                  <a16:creationId xmlns:a16="http://schemas.microsoft.com/office/drawing/2014/main" id="{77214B0A-E0FC-4476-980D-22116E5DDD9B}"/>
                </a:ext>
              </a:extLst>
            </xdr:cNvPr>
            <xdr:cNvSpPr txBox="1"/>
          </xdr:nvSpPr>
          <xdr:spPr>
            <a:xfrm>
              <a:off x="7597140" y="1881052"/>
              <a:ext cx="792906" cy="570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E997B8A-6477-4C07-9C22-2E81D31C7C00}" type="TxLink">
                <a:rPr lang="en-US" sz="2400" b="0" i="0" u="none" strike="noStrike">
                  <a:solidFill>
                    <a:srgbClr val="000000"/>
                  </a:solidFill>
                  <a:latin typeface="Aptos Narrow"/>
                </a:rPr>
                <a:pPr algn="ctr"/>
                <a:t>777</a:t>
              </a:fld>
              <a:endParaRPr lang="en-US" sz="4400"/>
            </a:p>
          </xdr:txBody>
        </xdr:sp>
        <xdr:pic>
          <xdr:nvPicPr>
            <xdr:cNvPr id="43" name="Graphic 42" descr="Car with solid fill">
              <a:extLst>
                <a:ext uri="{FF2B5EF4-FFF2-40B4-BE49-F238E27FC236}">
                  <a16:creationId xmlns:a16="http://schemas.microsoft.com/office/drawing/2014/main" id="{E68FDC62-98FD-2886-3E27-19EA56626F07}"/>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6934201" y="1905001"/>
              <a:ext cx="548640" cy="548640"/>
            </a:xfrm>
            <a:prstGeom prst="rect">
              <a:avLst/>
            </a:prstGeom>
          </xdr:spPr>
        </xdr:pic>
      </xdr:grpSp>
      <xdr:grpSp>
        <xdr:nvGrpSpPr>
          <xdr:cNvPr id="52" name="Group 51">
            <a:extLst>
              <a:ext uri="{FF2B5EF4-FFF2-40B4-BE49-F238E27FC236}">
                <a16:creationId xmlns:a16="http://schemas.microsoft.com/office/drawing/2014/main" id="{F4E3442C-7A5E-5C94-99A9-E9FDA27D3D42}"/>
              </a:ext>
            </a:extLst>
          </xdr:cNvPr>
          <xdr:cNvGrpSpPr/>
        </xdr:nvGrpSpPr>
        <xdr:grpSpPr>
          <a:xfrm>
            <a:off x="8729679" y="1333501"/>
            <a:ext cx="1873010" cy="1382487"/>
            <a:chOff x="8729679" y="1333501"/>
            <a:chExt cx="1873010" cy="1382487"/>
          </a:xfrm>
        </xdr:grpSpPr>
        <xdr:grpSp>
          <xdr:nvGrpSpPr>
            <xdr:cNvPr id="32" name="Group 31">
              <a:extLst>
                <a:ext uri="{FF2B5EF4-FFF2-40B4-BE49-F238E27FC236}">
                  <a16:creationId xmlns:a16="http://schemas.microsoft.com/office/drawing/2014/main" id="{2A891225-D918-F5AD-0DC1-9100FBF03556}"/>
                </a:ext>
              </a:extLst>
            </xdr:cNvPr>
            <xdr:cNvGrpSpPr/>
          </xdr:nvGrpSpPr>
          <xdr:grpSpPr>
            <a:xfrm>
              <a:off x="8729679" y="1333501"/>
              <a:ext cx="1873010" cy="1382487"/>
              <a:chOff x="8729679" y="1318261"/>
              <a:chExt cx="1873010" cy="1367247"/>
            </a:xfrm>
          </xdr:grpSpPr>
          <xdr:sp macro="" textlink="">
            <xdr:nvSpPr>
              <xdr:cNvPr id="10" name="Rectangle: Rounded Corners 9">
                <a:extLst>
                  <a:ext uri="{FF2B5EF4-FFF2-40B4-BE49-F238E27FC236}">
                    <a16:creationId xmlns:a16="http://schemas.microsoft.com/office/drawing/2014/main" id="{B67C5AC6-7757-4B74-8B57-62D208B53F1F}"/>
                  </a:ext>
                </a:extLst>
              </xdr:cNvPr>
              <xdr:cNvSpPr/>
            </xdr:nvSpPr>
            <xdr:spPr>
              <a:xfrm>
                <a:off x="8729679" y="1318261"/>
                <a:ext cx="1873010" cy="1367247"/>
              </a:xfrm>
              <a:prstGeom prst="roundRect">
                <a:avLst/>
              </a:prstGeom>
              <a:gradFill flip="none" rotWithShape="1">
                <a:gsLst>
                  <a:gs pos="32000">
                    <a:srgbClr val="1C948E"/>
                  </a:gs>
                  <a:gs pos="0">
                    <a:srgbClr val="F3FBF9"/>
                  </a:gs>
                  <a:gs pos="48000">
                    <a:srgbClr val="097B19"/>
                  </a:gs>
                  <a:gs pos="75000">
                    <a:srgbClr val="097B19"/>
                  </a:gs>
                  <a:gs pos="87000">
                    <a:schemeClr val="accent1">
                      <a:lumMod val="30000"/>
                      <a:lumOff val="70000"/>
                    </a:schemeClr>
                  </a:gs>
                </a:gsLst>
                <a:lin ang="5400000" scaled="1"/>
                <a:tileRect/>
              </a:gradFill>
              <a:ln>
                <a:solidFill>
                  <a:schemeClr val="bg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TextBox 27">
                <a:extLst>
                  <a:ext uri="{FF2B5EF4-FFF2-40B4-BE49-F238E27FC236}">
                    <a16:creationId xmlns:a16="http://schemas.microsoft.com/office/drawing/2014/main" id="{8F617B9A-241F-4DEA-B7E6-2C1EA95AA0E7}"/>
                  </a:ext>
                </a:extLst>
              </xdr:cNvPr>
              <xdr:cNvSpPr txBox="1"/>
            </xdr:nvSpPr>
            <xdr:spPr>
              <a:xfrm>
                <a:off x="8866839" y="1346201"/>
                <a:ext cx="1587500" cy="416560"/>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US" sz="1600"/>
                  <a:t>No.of Car</a:t>
                </a:r>
                <a:r>
                  <a:rPr lang="en-US" sz="1600" baseline="0"/>
                  <a:t> Brands </a:t>
                </a:r>
                <a:endParaRPr lang="en-US" sz="1600"/>
              </a:p>
            </xdr:txBody>
          </xdr:sp>
        </xdr:grpSp>
        <xdr:sp macro="" textlink="KPIs!C10">
          <xdr:nvSpPr>
            <xdr:cNvPr id="36" name="TextBox 35">
              <a:extLst>
                <a:ext uri="{FF2B5EF4-FFF2-40B4-BE49-F238E27FC236}">
                  <a16:creationId xmlns:a16="http://schemas.microsoft.com/office/drawing/2014/main" id="{D422AC67-421D-4D75-A1D3-1FBB88B3EC73}"/>
                </a:ext>
              </a:extLst>
            </xdr:cNvPr>
            <xdr:cNvSpPr txBox="1"/>
          </xdr:nvSpPr>
          <xdr:spPr>
            <a:xfrm>
              <a:off x="9624059" y="1888672"/>
              <a:ext cx="919179" cy="570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A391D7-CF93-4F62-B23B-48CE5A575F9C}" type="TxLink">
                <a:rPr lang="en-US" sz="2000" b="0" i="0" u="none" strike="noStrike">
                  <a:solidFill>
                    <a:srgbClr val="000000"/>
                  </a:solidFill>
                  <a:latin typeface="Aptos Narrow"/>
                </a:rPr>
                <a:pPr algn="ctr"/>
                <a:t>23</a:t>
              </a:fld>
              <a:endParaRPr lang="en-US" sz="4000"/>
            </a:p>
          </xdr:txBody>
        </xdr:sp>
        <xdr:pic>
          <xdr:nvPicPr>
            <xdr:cNvPr id="48" name="Graphic 47" descr="Target with solid fill">
              <a:extLst>
                <a:ext uri="{FF2B5EF4-FFF2-40B4-BE49-F238E27FC236}">
                  <a16:creationId xmlns:a16="http://schemas.microsoft.com/office/drawing/2014/main" id="{0AA6D806-58EA-A7ED-C809-B3643E9BE09E}"/>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8913001" y="1902601"/>
              <a:ext cx="548640" cy="548640"/>
            </a:xfrm>
            <a:prstGeom prst="rect">
              <a:avLst/>
            </a:prstGeom>
          </xdr:spPr>
        </xdr:pic>
      </xdr:grpSp>
    </xdr:grpSp>
    <xdr:clientData/>
  </xdr:twoCellAnchor>
  <xdr:twoCellAnchor editAs="oneCell">
    <xdr:from>
      <xdr:col>0</xdr:col>
      <xdr:colOff>246742</xdr:colOff>
      <xdr:row>18</xdr:row>
      <xdr:rowOff>10884</xdr:rowOff>
    </xdr:from>
    <xdr:to>
      <xdr:col>1</xdr:col>
      <xdr:colOff>486228</xdr:colOff>
      <xdr:row>22</xdr:row>
      <xdr:rowOff>119742</xdr:rowOff>
    </xdr:to>
    <xdr:pic>
      <xdr:nvPicPr>
        <xdr:cNvPr id="49" name="Graphic 48" descr="Chevron arrows with solid fill">
          <a:hlinkClick xmlns:r="http://schemas.openxmlformats.org/officeDocument/2006/relationships" r:id="rId14"/>
          <a:extLst>
            <a:ext uri="{FF2B5EF4-FFF2-40B4-BE49-F238E27FC236}">
              <a16:creationId xmlns:a16="http://schemas.microsoft.com/office/drawing/2014/main" id="{860BECEE-CDE9-4EBD-8843-A7895CB791B4}"/>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246742" y="3341913"/>
          <a:ext cx="849086" cy="849086"/>
        </a:xfrm>
        <a:prstGeom prst="rect">
          <a:avLst/>
        </a:prstGeom>
      </xdr:spPr>
    </xdr:pic>
    <xdr:clientData/>
  </xdr:twoCellAnchor>
  <xdr:twoCellAnchor>
    <xdr:from>
      <xdr:col>2</xdr:col>
      <xdr:colOff>206828</xdr:colOff>
      <xdr:row>18</xdr:row>
      <xdr:rowOff>32658</xdr:rowOff>
    </xdr:from>
    <xdr:to>
      <xdr:col>13</xdr:col>
      <xdr:colOff>402771</xdr:colOff>
      <xdr:row>36</xdr:row>
      <xdr:rowOff>119744</xdr:rowOff>
    </xdr:to>
    <xdr:graphicFrame macro="">
      <xdr:nvGraphicFramePr>
        <xdr:cNvPr id="56" name="Chart 55">
          <a:extLst>
            <a:ext uri="{FF2B5EF4-FFF2-40B4-BE49-F238E27FC236}">
              <a16:creationId xmlns:a16="http://schemas.microsoft.com/office/drawing/2014/main" id="{DFD7B242-F315-4143-94F4-D2B0941595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14</xdr:col>
      <xdr:colOff>32657</xdr:colOff>
      <xdr:row>18</xdr:row>
      <xdr:rowOff>65315</xdr:rowOff>
    </xdr:from>
    <xdr:to>
      <xdr:col>25</xdr:col>
      <xdr:colOff>174171</xdr:colOff>
      <xdr:row>36</xdr:row>
      <xdr:rowOff>163287</xdr:rowOff>
    </xdr:to>
    <xdr:graphicFrame macro="">
      <xdr:nvGraphicFramePr>
        <xdr:cNvPr id="57" name="Chart 56">
          <a:extLst>
            <a:ext uri="{FF2B5EF4-FFF2-40B4-BE49-F238E27FC236}">
              <a16:creationId xmlns:a16="http://schemas.microsoft.com/office/drawing/2014/main" id="{17A0DEFA-A18B-4FD1-B306-0273E0F461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399928</xdr:colOff>
      <xdr:row>37</xdr:row>
      <xdr:rowOff>64225</xdr:rowOff>
    </xdr:from>
    <xdr:to>
      <xdr:col>10</xdr:col>
      <xdr:colOff>95128</xdr:colOff>
      <xdr:row>62</xdr:row>
      <xdr:rowOff>9796</xdr:rowOff>
    </xdr:to>
    <xdr:graphicFrame macro="">
      <xdr:nvGraphicFramePr>
        <xdr:cNvPr id="58" name="Chart 57">
          <a:extLst>
            <a:ext uri="{FF2B5EF4-FFF2-40B4-BE49-F238E27FC236}">
              <a16:creationId xmlns:a16="http://schemas.microsoft.com/office/drawing/2014/main" id="{D796D4A4-F272-4C16-9D0B-66AB1268AC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10</xdr:col>
      <xdr:colOff>227178</xdr:colOff>
      <xdr:row>37</xdr:row>
      <xdr:rowOff>64225</xdr:rowOff>
    </xdr:from>
    <xdr:to>
      <xdr:col>17</xdr:col>
      <xdr:colOff>455778</xdr:colOff>
      <xdr:row>62</xdr:row>
      <xdr:rowOff>9796</xdr:rowOff>
    </xdr:to>
    <xdr:graphicFrame macro="">
      <xdr:nvGraphicFramePr>
        <xdr:cNvPr id="59" name="Chart 58">
          <a:extLst>
            <a:ext uri="{FF2B5EF4-FFF2-40B4-BE49-F238E27FC236}">
              <a16:creationId xmlns:a16="http://schemas.microsoft.com/office/drawing/2014/main" id="{57200B52-DC3F-4207-BA53-604108B3E8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17</xdr:col>
      <xdr:colOff>587828</xdr:colOff>
      <xdr:row>37</xdr:row>
      <xdr:rowOff>64225</xdr:rowOff>
    </xdr:from>
    <xdr:to>
      <xdr:col>25</xdr:col>
      <xdr:colOff>174171</xdr:colOff>
      <xdr:row>62</xdr:row>
      <xdr:rowOff>9796</xdr:rowOff>
    </xdr:to>
    <xdr:graphicFrame macro="">
      <xdr:nvGraphicFramePr>
        <xdr:cNvPr id="60" name="Chart 59">
          <a:extLst>
            <a:ext uri="{FF2B5EF4-FFF2-40B4-BE49-F238E27FC236}">
              <a16:creationId xmlns:a16="http://schemas.microsoft.com/office/drawing/2014/main" id="{2F451B5E-483A-4C96-99F8-C4C8E936A4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10886</xdr:colOff>
      <xdr:row>0</xdr:row>
      <xdr:rowOff>32657</xdr:rowOff>
    </xdr:from>
    <xdr:to>
      <xdr:col>30</xdr:col>
      <xdr:colOff>254000</xdr:colOff>
      <xdr:row>69</xdr:row>
      <xdr:rowOff>43543</xdr:rowOff>
    </xdr:to>
    <xdr:sp macro="" textlink="">
      <xdr:nvSpPr>
        <xdr:cNvPr id="2" name="Rectangle: Rounded Corners 1">
          <a:extLst>
            <a:ext uri="{FF2B5EF4-FFF2-40B4-BE49-F238E27FC236}">
              <a16:creationId xmlns:a16="http://schemas.microsoft.com/office/drawing/2014/main" id="{92D4B04B-BA6C-407E-B81B-EA0E4D74C85B}"/>
            </a:ext>
          </a:extLst>
        </xdr:cNvPr>
        <xdr:cNvSpPr/>
      </xdr:nvSpPr>
      <xdr:spPr>
        <a:xfrm>
          <a:off x="10886" y="32657"/>
          <a:ext cx="18531114" cy="12279086"/>
        </a:xfrm>
        <a:prstGeom prst="roundRect">
          <a:avLst>
            <a:gd name="adj" fmla="val 2000"/>
          </a:avLst>
        </a:prstGeom>
        <a:solidFill>
          <a:srgbClr val="065A5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108191</xdr:colOff>
      <xdr:row>0</xdr:row>
      <xdr:rowOff>60960</xdr:rowOff>
    </xdr:from>
    <xdr:to>
      <xdr:col>30</xdr:col>
      <xdr:colOff>177800</xdr:colOff>
      <xdr:row>69</xdr:row>
      <xdr:rowOff>12337</xdr:rowOff>
    </xdr:to>
    <xdr:grpSp>
      <xdr:nvGrpSpPr>
        <xdr:cNvPr id="3" name="Group 2">
          <a:extLst>
            <a:ext uri="{FF2B5EF4-FFF2-40B4-BE49-F238E27FC236}">
              <a16:creationId xmlns:a16="http://schemas.microsoft.com/office/drawing/2014/main" id="{5ED9C4FF-16DA-447A-A42A-A6C5F79C418A}"/>
            </a:ext>
          </a:extLst>
        </xdr:cNvPr>
        <xdr:cNvGrpSpPr/>
      </xdr:nvGrpSpPr>
      <xdr:grpSpPr>
        <a:xfrm>
          <a:off x="1327391" y="60960"/>
          <a:ext cx="17138409" cy="12720320"/>
          <a:chOff x="1327391" y="0"/>
          <a:chExt cx="14260953" cy="12718143"/>
        </a:xfrm>
      </xdr:grpSpPr>
      <xdr:sp macro="" textlink="">
        <xdr:nvSpPr>
          <xdr:cNvPr id="4" name="Rectangle: Rounded Corners 3">
            <a:extLst>
              <a:ext uri="{FF2B5EF4-FFF2-40B4-BE49-F238E27FC236}">
                <a16:creationId xmlns:a16="http://schemas.microsoft.com/office/drawing/2014/main" id="{76D42D60-78DA-C224-D163-1998C56AEF5A}"/>
              </a:ext>
            </a:extLst>
          </xdr:cNvPr>
          <xdr:cNvSpPr/>
        </xdr:nvSpPr>
        <xdr:spPr>
          <a:xfrm>
            <a:off x="1327391" y="0"/>
            <a:ext cx="14260953" cy="12718143"/>
          </a:xfrm>
          <a:prstGeom prst="roundRect">
            <a:avLst>
              <a:gd name="adj" fmla="val 1645"/>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Rectangle 4">
            <a:extLst>
              <a:ext uri="{FF2B5EF4-FFF2-40B4-BE49-F238E27FC236}">
                <a16:creationId xmlns:a16="http://schemas.microsoft.com/office/drawing/2014/main" id="{FD0D6F73-D7D5-14E1-60E6-60D2C198AD27}"/>
              </a:ext>
            </a:extLst>
          </xdr:cNvPr>
          <xdr:cNvSpPr/>
        </xdr:nvSpPr>
        <xdr:spPr>
          <a:xfrm>
            <a:off x="1400629" y="3309258"/>
            <a:ext cx="14078857" cy="9285513"/>
          </a:xfrm>
          <a:prstGeom prst="rect">
            <a:avLst/>
          </a:prstGeom>
          <a:noFill/>
          <a:ln>
            <a:noFill/>
          </a:ln>
        </xdr:spPr>
        <xdr:style>
          <a:lnRef idx="0">
            <a:scrgbClr r="0" g="0" b="0"/>
          </a:lnRef>
          <a:fillRef idx="0">
            <a:scrgbClr r="0" g="0" b="0"/>
          </a:fillRef>
          <a:effectRef idx="0">
            <a:scrgbClr r="0" g="0" b="0"/>
          </a:effectRef>
          <a:fontRef idx="minor">
            <a:schemeClr val="accent6"/>
          </a:fontRef>
        </xdr:style>
        <xdr:txBody>
          <a:bodyPr vertOverflow="clip" horzOverflow="clip" rtlCol="0" anchor="t"/>
          <a:lstStyle/>
          <a:p>
            <a:pPr algn="l"/>
            <a:endParaRPr lang="en-US" sz="1100"/>
          </a:p>
        </xdr:txBody>
      </xdr:sp>
    </xdr:grpSp>
    <xdr:clientData/>
  </xdr:twoCellAnchor>
  <xdr:twoCellAnchor editAs="oneCell">
    <xdr:from>
      <xdr:col>0</xdr:col>
      <xdr:colOff>224971</xdr:colOff>
      <xdr:row>3</xdr:row>
      <xdr:rowOff>87086</xdr:rowOff>
    </xdr:from>
    <xdr:to>
      <xdr:col>1</xdr:col>
      <xdr:colOff>529771</xdr:colOff>
      <xdr:row>8</xdr:row>
      <xdr:rowOff>76200</xdr:rowOff>
    </xdr:to>
    <xdr:pic>
      <xdr:nvPicPr>
        <xdr:cNvPr id="6" name="Graphic 5" descr="Car with solid fill">
          <a:extLst>
            <a:ext uri="{FF2B5EF4-FFF2-40B4-BE49-F238E27FC236}">
              <a16:creationId xmlns:a16="http://schemas.microsoft.com/office/drawing/2014/main" id="{11F374AA-1B01-4015-A5AD-6E623EBD3B9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24971" y="635726"/>
          <a:ext cx="914400" cy="903514"/>
        </a:xfrm>
        <a:prstGeom prst="rect">
          <a:avLst/>
        </a:prstGeom>
      </xdr:spPr>
    </xdr:pic>
    <xdr:clientData/>
  </xdr:twoCellAnchor>
  <xdr:twoCellAnchor editAs="oneCell">
    <xdr:from>
      <xdr:col>0</xdr:col>
      <xdr:colOff>261258</xdr:colOff>
      <xdr:row>22</xdr:row>
      <xdr:rowOff>130628</xdr:rowOff>
    </xdr:from>
    <xdr:to>
      <xdr:col>1</xdr:col>
      <xdr:colOff>489858</xdr:colOff>
      <xdr:row>27</xdr:row>
      <xdr:rowOff>43542</xdr:rowOff>
    </xdr:to>
    <xdr:pic>
      <xdr:nvPicPr>
        <xdr:cNvPr id="7" name="Graphic 6" descr="Chevron arrows with solid fill">
          <a:hlinkClick xmlns:r="http://schemas.openxmlformats.org/officeDocument/2006/relationships" r:id="rId3"/>
          <a:extLst>
            <a:ext uri="{FF2B5EF4-FFF2-40B4-BE49-F238E27FC236}">
              <a16:creationId xmlns:a16="http://schemas.microsoft.com/office/drawing/2014/main" id="{D1A612F2-D0BA-429A-BB4C-E8E789ADF9F2}"/>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1258" y="4153988"/>
          <a:ext cx="838200" cy="827314"/>
        </a:xfrm>
        <a:prstGeom prst="rect">
          <a:avLst/>
        </a:prstGeom>
      </xdr:spPr>
    </xdr:pic>
    <xdr:clientData/>
  </xdr:twoCellAnchor>
  <xdr:twoCellAnchor>
    <xdr:from>
      <xdr:col>2</xdr:col>
      <xdr:colOff>239489</xdr:colOff>
      <xdr:row>0</xdr:row>
      <xdr:rowOff>163287</xdr:rowOff>
    </xdr:from>
    <xdr:to>
      <xdr:col>25</xdr:col>
      <xdr:colOff>249708</xdr:colOff>
      <xdr:row>16</xdr:row>
      <xdr:rowOff>119744</xdr:rowOff>
    </xdr:to>
    <xdr:grpSp>
      <xdr:nvGrpSpPr>
        <xdr:cNvPr id="8" name="Group 7">
          <a:extLst>
            <a:ext uri="{FF2B5EF4-FFF2-40B4-BE49-F238E27FC236}">
              <a16:creationId xmlns:a16="http://schemas.microsoft.com/office/drawing/2014/main" id="{E0A439F2-9EDD-498E-8E27-564956AD91F1}"/>
            </a:ext>
          </a:extLst>
        </xdr:cNvPr>
        <xdr:cNvGrpSpPr/>
      </xdr:nvGrpSpPr>
      <xdr:grpSpPr>
        <a:xfrm>
          <a:off x="1458689" y="163287"/>
          <a:ext cx="14031019" cy="2917371"/>
          <a:chOff x="1491346" y="32659"/>
          <a:chExt cx="14031019" cy="2917371"/>
        </a:xfrm>
      </xdr:grpSpPr>
      <xdr:grpSp>
        <xdr:nvGrpSpPr>
          <xdr:cNvPr id="9" name="Group 8">
            <a:extLst>
              <a:ext uri="{FF2B5EF4-FFF2-40B4-BE49-F238E27FC236}">
                <a16:creationId xmlns:a16="http://schemas.microsoft.com/office/drawing/2014/main" id="{23653DB1-5AAC-6881-07E6-D734C8044E3D}"/>
              </a:ext>
            </a:extLst>
          </xdr:cNvPr>
          <xdr:cNvGrpSpPr/>
        </xdr:nvGrpSpPr>
        <xdr:grpSpPr>
          <a:xfrm>
            <a:off x="1491346" y="32659"/>
            <a:ext cx="2656114" cy="2917371"/>
            <a:chOff x="1491346" y="32659"/>
            <a:chExt cx="2656114" cy="2808514"/>
          </a:xfrm>
        </xdr:grpSpPr>
        <xdr:sp macro="" textlink="">
          <xdr:nvSpPr>
            <xdr:cNvPr id="40" name="Rectangle: Rounded Corners 39">
              <a:extLst>
                <a:ext uri="{FF2B5EF4-FFF2-40B4-BE49-F238E27FC236}">
                  <a16:creationId xmlns:a16="http://schemas.microsoft.com/office/drawing/2014/main" id="{59404DD7-E115-FC83-342D-008C4C84BB4B}"/>
                </a:ext>
              </a:extLst>
            </xdr:cNvPr>
            <xdr:cNvSpPr/>
          </xdr:nvSpPr>
          <xdr:spPr>
            <a:xfrm>
              <a:off x="1491346" y="32659"/>
              <a:ext cx="2656114" cy="2808514"/>
            </a:xfrm>
            <a:prstGeom prst="roundRect">
              <a:avLst/>
            </a:prstGeom>
            <a:solidFill>
              <a:schemeClr val="bg1"/>
            </a:solidFill>
            <a:ln>
              <a:solidFill>
                <a:schemeClr val="bg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41" name="Brand 2">
                  <a:extLst>
                    <a:ext uri="{FF2B5EF4-FFF2-40B4-BE49-F238E27FC236}">
                      <a16:creationId xmlns:a16="http://schemas.microsoft.com/office/drawing/2014/main" id="{C54DEB5E-BCAA-C1B9-EC21-BB387312CED0}"/>
                    </a:ext>
                  </a:extLst>
                </xdr:cNvPr>
                <xdr:cNvGraphicFramePr/>
              </xdr:nvGraphicFramePr>
              <xdr:xfrm>
                <a:off x="1651000" y="177799"/>
                <a:ext cx="2247900" cy="2526847"/>
              </xdr:xfrm>
              <a:graphic>
                <a:graphicData uri="http://schemas.microsoft.com/office/drawing/2010/slicer">
                  <sle:slicer xmlns:sle="http://schemas.microsoft.com/office/drawing/2010/slicer" name="Brand 2"/>
                </a:graphicData>
              </a:graphic>
            </xdr:graphicFrame>
          </mc:Choice>
          <mc:Fallback>
            <xdr:sp macro="" textlink="">
              <xdr:nvSpPr>
                <xdr:cNvPr id="0" name=""/>
                <xdr:cNvSpPr>
                  <a:spLocks noTextEdit="1"/>
                </xdr:cNvSpPr>
              </xdr:nvSpPr>
              <xdr:spPr>
                <a:xfrm>
                  <a:off x="1618343" y="314053"/>
                  <a:ext cx="2247900" cy="26247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10" name="Group 9">
            <a:extLst>
              <a:ext uri="{FF2B5EF4-FFF2-40B4-BE49-F238E27FC236}">
                <a16:creationId xmlns:a16="http://schemas.microsoft.com/office/drawing/2014/main" id="{1EE3C1B5-7F94-3247-9DE5-BC1D37016755}"/>
              </a:ext>
            </a:extLst>
          </xdr:cNvPr>
          <xdr:cNvGrpSpPr/>
        </xdr:nvGrpSpPr>
        <xdr:grpSpPr>
          <a:xfrm>
            <a:off x="12866251" y="32659"/>
            <a:ext cx="2656114" cy="2917371"/>
            <a:chOff x="12866251" y="32659"/>
            <a:chExt cx="2656114" cy="2808514"/>
          </a:xfrm>
        </xdr:grpSpPr>
        <xdr:sp macro="" textlink="">
          <xdr:nvSpPr>
            <xdr:cNvPr id="38" name="Rectangle: Rounded Corners 37">
              <a:extLst>
                <a:ext uri="{FF2B5EF4-FFF2-40B4-BE49-F238E27FC236}">
                  <a16:creationId xmlns:a16="http://schemas.microsoft.com/office/drawing/2014/main" id="{E5B2ED8A-56BA-F276-4300-1DFC8AD89527}"/>
                </a:ext>
              </a:extLst>
            </xdr:cNvPr>
            <xdr:cNvSpPr/>
          </xdr:nvSpPr>
          <xdr:spPr>
            <a:xfrm>
              <a:off x="12866251" y="32659"/>
              <a:ext cx="2656114" cy="2808514"/>
            </a:xfrm>
            <a:prstGeom prst="roundRect">
              <a:avLst/>
            </a:prstGeom>
            <a:solidFill>
              <a:schemeClr val="bg1"/>
            </a:solidFill>
            <a:ln>
              <a:solidFill>
                <a:schemeClr val="bg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39" name="State 2">
                  <a:extLst>
                    <a:ext uri="{FF2B5EF4-FFF2-40B4-BE49-F238E27FC236}">
                      <a16:creationId xmlns:a16="http://schemas.microsoft.com/office/drawing/2014/main" id="{892CE734-4191-4D79-5F6B-CDFF1D5B4628}"/>
                    </a:ext>
                  </a:extLst>
                </xdr:cNvPr>
                <xdr:cNvGraphicFramePr/>
              </xdr:nvGraphicFramePr>
              <xdr:xfrm>
                <a:off x="12966700" y="177800"/>
                <a:ext cx="2463800" cy="2387600"/>
              </xdr:xfrm>
              <a:graphic>
                <a:graphicData uri="http://schemas.microsoft.com/office/drawing/2010/slicer">
                  <sle:slicer xmlns:sle="http://schemas.microsoft.com/office/drawing/2010/slicer" name="State 2"/>
                </a:graphicData>
              </a:graphic>
            </xdr:graphicFrame>
          </mc:Choice>
          <mc:Fallback>
            <xdr:sp macro="" textlink="">
              <xdr:nvSpPr>
                <xdr:cNvPr id="0" name=""/>
                <xdr:cNvSpPr>
                  <a:spLocks noTextEdit="1"/>
                </xdr:cNvSpPr>
              </xdr:nvSpPr>
              <xdr:spPr>
                <a:xfrm>
                  <a:off x="12934043" y="314054"/>
                  <a:ext cx="2463800" cy="24801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11" name="Group 10">
            <a:extLst>
              <a:ext uri="{FF2B5EF4-FFF2-40B4-BE49-F238E27FC236}">
                <a16:creationId xmlns:a16="http://schemas.microsoft.com/office/drawing/2014/main" id="{E4994345-C8C4-0292-0C6F-602A878AEDFE}"/>
              </a:ext>
            </a:extLst>
          </xdr:cNvPr>
          <xdr:cNvGrpSpPr/>
        </xdr:nvGrpSpPr>
        <xdr:grpSpPr>
          <a:xfrm>
            <a:off x="4343068" y="32659"/>
            <a:ext cx="8327576" cy="1099456"/>
            <a:chOff x="4343068" y="32659"/>
            <a:chExt cx="8327576" cy="1055913"/>
          </a:xfrm>
        </xdr:grpSpPr>
        <xdr:sp macro="" textlink="">
          <xdr:nvSpPr>
            <xdr:cNvPr id="36" name="Rectangle: Rounded Corners 35">
              <a:extLst>
                <a:ext uri="{FF2B5EF4-FFF2-40B4-BE49-F238E27FC236}">
                  <a16:creationId xmlns:a16="http://schemas.microsoft.com/office/drawing/2014/main" id="{159D6221-9950-AB93-207A-26942ED647D9}"/>
                </a:ext>
              </a:extLst>
            </xdr:cNvPr>
            <xdr:cNvSpPr/>
          </xdr:nvSpPr>
          <xdr:spPr>
            <a:xfrm>
              <a:off x="4343068" y="32659"/>
              <a:ext cx="8327576" cy="1055913"/>
            </a:xfrm>
            <a:prstGeom prst="roundRect">
              <a:avLst/>
            </a:prstGeom>
            <a:solidFill>
              <a:schemeClr val="bg1"/>
            </a:solidFill>
            <a:ln>
              <a:solidFill>
                <a:schemeClr val="bg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TextBox 36">
              <a:extLst>
                <a:ext uri="{FF2B5EF4-FFF2-40B4-BE49-F238E27FC236}">
                  <a16:creationId xmlns:a16="http://schemas.microsoft.com/office/drawing/2014/main" id="{6BD71B04-647D-C11F-1DA4-099EFFD457F5}"/>
                </a:ext>
              </a:extLst>
            </xdr:cNvPr>
            <xdr:cNvSpPr txBox="1"/>
          </xdr:nvSpPr>
          <xdr:spPr>
            <a:xfrm>
              <a:off x="4826000" y="165100"/>
              <a:ext cx="7137400" cy="711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latin typeface="Calibri" panose="020F0502020204030204" pitchFamily="34" charset="0"/>
                  <a:ea typeface="Calibri" panose="020F0502020204030204" pitchFamily="34" charset="0"/>
                  <a:cs typeface="Calibri" panose="020F0502020204030204" pitchFamily="34" charset="0"/>
                </a:rPr>
                <a:t>Car</a:t>
              </a:r>
              <a:r>
                <a:rPr lang="en-US" sz="3600" b="1" cap="none" spc="0" baseline="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latin typeface="Calibri" panose="020F0502020204030204" pitchFamily="34" charset="0"/>
                  <a:ea typeface="Calibri" panose="020F0502020204030204" pitchFamily="34" charset="0"/>
                  <a:cs typeface="Calibri" panose="020F0502020204030204" pitchFamily="34" charset="0"/>
                </a:rPr>
                <a:t> Sales Analysis Dashboard</a:t>
              </a:r>
              <a:endParaRPr lang="en-US" sz="36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latin typeface="Calibri" panose="020F0502020204030204" pitchFamily="34" charset="0"/>
                <a:ea typeface="Calibri" panose="020F0502020204030204" pitchFamily="34" charset="0"/>
                <a:cs typeface="Calibri" panose="020F0502020204030204" pitchFamily="34" charset="0"/>
              </a:endParaRPr>
            </a:p>
          </xdr:txBody>
        </xdr:sp>
      </xdr:grpSp>
      <xdr:grpSp>
        <xdr:nvGrpSpPr>
          <xdr:cNvPr id="12" name="Group 11">
            <a:extLst>
              <a:ext uri="{FF2B5EF4-FFF2-40B4-BE49-F238E27FC236}">
                <a16:creationId xmlns:a16="http://schemas.microsoft.com/office/drawing/2014/main" id="{CE2A9F76-CA90-97FD-D17B-7C2478164005}"/>
              </a:ext>
            </a:extLst>
          </xdr:cNvPr>
          <xdr:cNvGrpSpPr/>
        </xdr:nvGrpSpPr>
        <xdr:grpSpPr>
          <a:xfrm>
            <a:off x="10831711" y="1333501"/>
            <a:ext cx="1785923" cy="1382487"/>
            <a:chOff x="10831711" y="1333501"/>
            <a:chExt cx="1785923" cy="1382487"/>
          </a:xfrm>
        </xdr:grpSpPr>
        <xdr:grpSp>
          <xdr:nvGrpSpPr>
            <xdr:cNvPr id="31" name="Group 30">
              <a:extLst>
                <a:ext uri="{FF2B5EF4-FFF2-40B4-BE49-F238E27FC236}">
                  <a16:creationId xmlns:a16="http://schemas.microsoft.com/office/drawing/2014/main" id="{94D1E6DB-1B2F-E2B4-72F3-79C5578835B2}"/>
                </a:ext>
              </a:extLst>
            </xdr:cNvPr>
            <xdr:cNvGrpSpPr/>
          </xdr:nvGrpSpPr>
          <xdr:grpSpPr>
            <a:xfrm>
              <a:off x="10831711" y="1333501"/>
              <a:ext cx="1785923" cy="1382487"/>
              <a:chOff x="10799054" y="1318261"/>
              <a:chExt cx="1785923" cy="1367247"/>
            </a:xfrm>
          </xdr:grpSpPr>
          <xdr:sp macro="" textlink="">
            <xdr:nvSpPr>
              <xdr:cNvPr id="34" name="Rectangle: Rounded Corners 33">
                <a:extLst>
                  <a:ext uri="{FF2B5EF4-FFF2-40B4-BE49-F238E27FC236}">
                    <a16:creationId xmlns:a16="http://schemas.microsoft.com/office/drawing/2014/main" id="{735BB8B1-64FF-036F-08C1-A28122A79906}"/>
                  </a:ext>
                </a:extLst>
              </xdr:cNvPr>
              <xdr:cNvSpPr/>
            </xdr:nvSpPr>
            <xdr:spPr>
              <a:xfrm>
                <a:off x="10799054" y="1318261"/>
                <a:ext cx="1785923" cy="1367247"/>
              </a:xfrm>
              <a:prstGeom prst="roundRect">
                <a:avLst/>
              </a:prstGeom>
              <a:gradFill flip="none" rotWithShape="1">
                <a:gsLst>
                  <a:gs pos="32000">
                    <a:srgbClr val="1C948E"/>
                  </a:gs>
                  <a:gs pos="0">
                    <a:srgbClr val="F3FBF9"/>
                  </a:gs>
                  <a:gs pos="48000">
                    <a:srgbClr val="097B19"/>
                  </a:gs>
                  <a:gs pos="75000">
                    <a:srgbClr val="097B19"/>
                  </a:gs>
                  <a:gs pos="87000">
                    <a:schemeClr val="accent1">
                      <a:lumMod val="30000"/>
                      <a:lumOff val="70000"/>
                    </a:schemeClr>
                  </a:gs>
                </a:gsLst>
                <a:lin ang="5400000" scaled="1"/>
                <a:tileRect/>
              </a:gradFill>
              <a:ln>
                <a:solidFill>
                  <a:schemeClr val="bg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5" name="TextBox 34">
                <a:extLst>
                  <a:ext uri="{FF2B5EF4-FFF2-40B4-BE49-F238E27FC236}">
                    <a16:creationId xmlns:a16="http://schemas.microsoft.com/office/drawing/2014/main" id="{8C474164-F5E7-B699-AB1F-0FD8A6DE6C2A}"/>
                  </a:ext>
                </a:extLst>
              </xdr:cNvPr>
              <xdr:cNvSpPr txBox="1"/>
            </xdr:nvSpPr>
            <xdr:spPr>
              <a:xfrm>
                <a:off x="10882874" y="1361441"/>
                <a:ext cx="1587500" cy="416560"/>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US" sz="1600"/>
                  <a:t>Avg.Selling Price </a:t>
                </a:r>
              </a:p>
            </xdr:txBody>
          </xdr:sp>
        </xdr:grpSp>
        <xdr:sp macro="" textlink="KPIs!E3">
          <xdr:nvSpPr>
            <xdr:cNvPr id="32" name="TextBox 31">
              <a:extLst>
                <a:ext uri="{FF2B5EF4-FFF2-40B4-BE49-F238E27FC236}">
                  <a16:creationId xmlns:a16="http://schemas.microsoft.com/office/drawing/2014/main" id="{7C984D0E-81FD-A26C-F6A7-D39B49CE1A5C}"/>
                </a:ext>
              </a:extLst>
            </xdr:cNvPr>
            <xdr:cNvSpPr txBox="1"/>
          </xdr:nvSpPr>
          <xdr:spPr>
            <a:xfrm>
              <a:off x="11448931" y="1881052"/>
              <a:ext cx="1133866" cy="570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8B54AA-830D-4957-B8F2-7890CD8C91E0}" type="TxLink">
                <a:rPr lang="en-US" sz="2000" b="0" i="0" u="none" strike="noStrike">
                  <a:solidFill>
                    <a:srgbClr val="000000"/>
                  </a:solidFill>
                  <a:latin typeface="Aptos Narrow"/>
                </a:rPr>
                <a:pPr algn="ctr"/>
                <a:t> $61,384 </a:t>
              </a:fld>
              <a:endParaRPr lang="en-US" sz="4000"/>
            </a:p>
          </xdr:txBody>
        </xdr:sp>
        <xdr:pic>
          <xdr:nvPicPr>
            <xdr:cNvPr id="33" name="Graphic 32" descr="Bar chart with solid fill">
              <a:extLst>
                <a:ext uri="{FF2B5EF4-FFF2-40B4-BE49-F238E27FC236}">
                  <a16:creationId xmlns:a16="http://schemas.microsoft.com/office/drawing/2014/main" id="{E1522810-66ED-E489-54D9-B2BF117ECDE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1005458" y="1948543"/>
              <a:ext cx="451820" cy="457200"/>
            </a:xfrm>
            <a:prstGeom prst="rect">
              <a:avLst/>
            </a:prstGeom>
          </xdr:spPr>
        </xdr:pic>
      </xdr:grpSp>
      <xdr:grpSp>
        <xdr:nvGrpSpPr>
          <xdr:cNvPr id="13" name="Group 12">
            <a:extLst>
              <a:ext uri="{FF2B5EF4-FFF2-40B4-BE49-F238E27FC236}">
                <a16:creationId xmlns:a16="http://schemas.microsoft.com/office/drawing/2014/main" id="{7A9B3BFC-C3E0-0C4B-2E01-CB34C1865E21}"/>
              </a:ext>
            </a:extLst>
          </xdr:cNvPr>
          <xdr:cNvGrpSpPr/>
        </xdr:nvGrpSpPr>
        <xdr:grpSpPr>
          <a:xfrm>
            <a:off x="4582223" y="1333501"/>
            <a:ext cx="1982951" cy="1382487"/>
            <a:chOff x="4582223" y="1333501"/>
            <a:chExt cx="1982951" cy="1382487"/>
          </a:xfrm>
        </xdr:grpSpPr>
        <xdr:grpSp>
          <xdr:nvGrpSpPr>
            <xdr:cNvPr id="26" name="Group 25">
              <a:extLst>
                <a:ext uri="{FF2B5EF4-FFF2-40B4-BE49-F238E27FC236}">
                  <a16:creationId xmlns:a16="http://schemas.microsoft.com/office/drawing/2014/main" id="{6B86876A-7977-3828-BDBD-A2F71E9431DE}"/>
                </a:ext>
              </a:extLst>
            </xdr:cNvPr>
            <xdr:cNvGrpSpPr/>
          </xdr:nvGrpSpPr>
          <xdr:grpSpPr>
            <a:xfrm>
              <a:off x="4582223" y="1333501"/>
              <a:ext cx="1927439" cy="1382487"/>
              <a:chOff x="4582223" y="1318261"/>
              <a:chExt cx="1927439" cy="1367247"/>
            </a:xfrm>
          </xdr:grpSpPr>
          <xdr:sp macro="" textlink="">
            <xdr:nvSpPr>
              <xdr:cNvPr id="29" name="Rectangle: Rounded Corners 28">
                <a:extLst>
                  <a:ext uri="{FF2B5EF4-FFF2-40B4-BE49-F238E27FC236}">
                    <a16:creationId xmlns:a16="http://schemas.microsoft.com/office/drawing/2014/main" id="{BC39189C-6A3D-2525-5951-D841AE49E640}"/>
                  </a:ext>
                </a:extLst>
              </xdr:cNvPr>
              <xdr:cNvSpPr/>
            </xdr:nvSpPr>
            <xdr:spPr>
              <a:xfrm>
                <a:off x="4582223" y="1318261"/>
                <a:ext cx="1927439" cy="1367247"/>
              </a:xfrm>
              <a:prstGeom prst="roundRect">
                <a:avLst/>
              </a:prstGeom>
              <a:gradFill flip="none" rotWithShape="1">
                <a:gsLst>
                  <a:gs pos="32000">
                    <a:srgbClr val="1C948E"/>
                  </a:gs>
                  <a:gs pos="0">
                    <a:srgbClr val="F3FBF9"/>
                  </a:gs>
                  <a:gs pos="48000">
                    <a:srgbClr val="097B19"/>
                  </a:gs>
                  <a:gs pos="75000">
                    <a:srgbClr val="097B19"/>
                  </a:gs>
                  <a:gs pos="87000">
                    <a:schemeClr val="accent1">
                      <a:lumMod val="30000"/>
                      <a:lumOff val="70000"/>
                    </a:schemeClr>
                  </a:gs>
                </a:gsLst>
                <a:lin ang="5400000" scaled="1"/>
                <a:tileRect/>
              </a:gradFill>
              <a:ln>
                <a:solidFill>
                  <a:schemeClr val="bg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TextBox 29">
                <a:extLst>
                  <a:ext uri="{FF2B5EF4-FFF2-40B4-BE49-F238E27FC236}">
                    <a16:creationId xmlns:a16="http://schemas.microsoft.com/office/drawing/2014/main" id="{0289D9D6-D837-CB5A-7C76-E6FE88515D2A}"/>
                  </a:ext>
                </a:extLst>
              </xdr:cNvPr>
              <xdr:cNvSpPr txBox="1"/>
            </xdr:nvSpPr>
            <xdr:spPr>
              <a:xfrm>
                <a:off x="4749800" y="1356360"/>
                <a:ext cx="1587500" cy="416560"/>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US" sz="1600"/>
                  <a:t>Total Sales </a:t>
                </a:r>
              </a:p>
            </xdr:txBody>
          </xdr:sp>
        </xdr:grpSp>
        <xdr:sp macro="" textlink="KPIs!B3">
          <xdr:nvSpPr>
            <xdr:cNvPr id="27" name="TextBox 26">
              <a:extLst>
                <a:ext uri="{FF2B5EF4-FFF2-40B4-BE49-F238E27FC236}">
                  <a16:creationId xmlns:a16="http://schemas.microsoft.com/office/drawing/2014/main" id="{98FC0854-FAB5-CB40-E1EB-38630F140ACD}"/>
                </a:ext>
              </a:extLst>
            </xdr:cNvPr>
            <xdr:cNvSpPr txBox="1"/>
          </xdr:nvSpPr>
          <xdr:spPr>
            <a:xfrm>
              <a:off x="4987834" y="1881051"/>
              <a:ext cx="1577340" cy="570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0CCC23-FEAE-44F2-9DA5-56268554F1F4}" type="TxLink">
                <a:rPr lang="en-US" sz="2000" b="0" i="0" u="none" strike="noStrike">
                  <a:solidFill>
                    <a:srgbClr val="000000"/>
                  </a:solidFill>
                  <a:latin typeface="Aptos Narrow"/>
                </a:rPr>
                <a:pPr algn="ctr"/>
                <a:t> $48,102,000 </a:t>
              </a:fld>
              <a:endParaRPr lang="en-US" sz="2000"/>
            </a:p>
          </xdr:txBody>
        </xdr:sp>
        <xdr:pic>
          <xdr:nvPicPr>
            <xdr:cNvPr id="28" name="Graphic 27" descr="Money with solid fill">
              <a:extLst>
                <a:ext uri="{FF2B5EF4-FFF2-40B4-BE49-F238E27FC236}">
                  <a16:creationId xmlns:a16="http://schemas.microsoft.com/office/drawing/2014/main" id="{0166C31D-7CB3-7449-16F7-723B511D9857}"/>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4648203" y="1915885"/>
              <a:ext cx="457200" cy="457200"/>
            </a:xfrm>
            <a:prstGeom prst="rect">
              <a:avLst/>
            </a:prstGeom>
          </xdr:spPr>
        </xdr:pic>
      </xdr:grpSp>
      <xdr:grpSp>
        <xdr:nvGrpSpPr>
          <xdr:cNvPr id="14" name="Group 13">
            <a:extLst>
              <a:ext uri="{FF2B5EF4-FFF2-40B4-BE49-F238E27FC236}">
                <a16:creationId xmlns:a16="http://schemas.microsoft.com/office/drawing/2014/main" id="{BC449040-844E-6663-121E-0D23E99BAD59}"/>
              </a:ext>
            </a:extLst>
          </xdr:cNvPr>
          <xdr:cNvGrpSpPr/>
        </xdr:nvGrpSpPr>
        <xdr:grpSpPr>
          <a:xfrm>
            <a:off x="6683166" y="1333501"/>
            <a:ext cx="1873009" cy="1382487"/>
            <a:chOff x="6683166" y="1333501"/>
            <a:chExt cx="1873009" cy="1382487"/>
          </a:xfrm>
        </xdr:grpSpPr>
        <xdr:grpSp>
          <xdr:nvGrpSpPr>
            <xdr:cNvPr id="21" name="Group 20">
              <a:extLst>
                <a:ext uri="{FF2B5EF4-FFF2-40B4-BE49-F238E27FC236}">
                  <a16:creationId xmlns:a16="http://schemas.microsoft.com/office/drawing/2014/main" id="{54D4C5FE-9523-6060-29AA-0444DF603F5B}"/>
                </a:ext>
              </a:extLst>
            </xdr:cNvPr>
            <xdr:cNvGrpSpPr/>
          </xdr:nvGrpSpPr>
          <xdr:grpSpPr>
            <a:xfrm>
              <a:off x="6683166" y="1333501"/>
              <a:ext cx="1873009" cy="1382487"/>
              <a:chOff x="6683166" y="1318261"/>
              <a:chExt cx="1873009" cy="1367247"/>
            </a:xfrm>
          </xdr:grpSpPr>
          <xdr:sp macro="" textlink="">
            <xdr:nvSpPr>
              <xdr:cNvPr id="24" name="Rectangle: Rounded Corners 23">
                <a:extLst>
                  <a:ext uri="{FF2B5EF4-FFF2-40B4-BE49-F238E27FC236}">
                    <a16:creationId xmlns:a16="http://schemas.microsoft.com/office/drawing/2014/main" id="{468790B8-42B3-83F2-72A8-31F8177A311B}"/>
                  </a:ext>
                </a:extLst>
              </xdr:cNvPr>
              <xdr:cNvSpPr/>
            </xdr:nvSpPr>
            <xdr:spPr>
              <a:xfrm>
                <a:off x="6683166" y="1318261"/>
                <a:ext cx="1873009" cy="1367247"/>
              </a:xfrm>
              <a:prstGeom prst="roundRect">
                <a:avLst/>
              </a:prstGeom>
              <a:gradFill flip="none" rotWithShape="1">
                <a:gsLst>
                  <a:gs pos="32000">
                    <a:srgbClr val="1C948E"/>
                  </a:gs>
                  <a:gs pos="0">
                    <a:srgbClr val="F3FBF9"/>
                  </a:gs>
                  <a:gs pos="48000">
                    <a:srgbClr val="097B19"/>
                  </a:gs>
                  <a:gs pos="75000">
                    <a:srgbClr val="097B19"/>
                  </a:gs>
                  <a:gs pos="87000">
                    <a:schemeClr val="accent1">
                      <a:lumMod val="30000"/>
                      <a:lumOff val="70000"/>
                    </a:schemeClr>
                  </a:gs>
                </a:gsLst>
                <a:lin ang="5400000" scaled="1"/>
                <a:tileRect/>
              </a:gradFill>
              <a:ln>
                <a:solidFill>
                  <a:schemeClr val="bg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TextBox 24">
                <a:extLst>
                  <a:ext uri="{FF2B5EF4-FFF2-40B4-BE49-F238E27FC236}">
                    <a16:creationId xmlns:a16="http://schemas.microsoft.com/office/drawing/2014/main" id="{7D9ADB86-E896-D2FA-F71C-6F42C556BE05}"/>
                  </a:ext>
                </a:extLst>
              </xdr:cNvPr>
              <xdr:cNvSpPr txBox="1"/>
            </xdr:nvSpPr>
            <xdr:spPr>
              <a:xfrm>
                <a:off x="6751746" y="1353821"/>
                <a:ext cx="1587500" cy="416560"/>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US" sz="1600"/>
                  <a:t>No.of Cars Sold </a:t>
                </a:r>
              </a:p>
            </xdr:txBody>
          </xdr:sp>
        </xdr:grpSp>
        <xdr:sp macro="" textlink="KPIs!C3">
          <xdr:nvSpPr>
            <xdr:cNvPr id="22" name="TextBox 21">
              <a:extLst>
                <a:ext uri="{FF2B5EF4-FFF2-40B4-BE49-F238E27FC236}">
                  <a16:creationId xmlns:a16="http://schemas.microsoft.com/office/drawing/2014/main" id="{896FC71D-7178-63C4-D9C2-38F5CE3C829D}"/>
                </a:ext>
              </a:extLst>
            </xdr:cNvPr>
            <xdr:cNvSpPr txBox="1"/>
          </xdr:nvSpPr>
          <xdr:spPr>
            <a:xfrm>
              <a:off x="7597140" y="1881052"/>
              <a:ext cx="792906" cy="570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E997B8A-6477-4C07-9C22-2E81D31C7C00}" type="TxLink">
                <a:rPr lang="en-US" sz="2400" b="0" i="0" u="none" strike="noStrike">
                  <a:solidFill>
                    <a:srgbClr val="000000"/>
                  </a:solidFill>
                  <a:latin typeface="Aptos Narrow"/>
                </a:rPr>
                <a:pPr algn="ctr"/>
                <a:t>777</a:t>
              </a:fld>
              <a:endParaRPr lang="en-US" sz="4400"/>
            </a:p>
          </xdr:txBody>
        </xdr:sp>
        <xdr:pic>
          <xdr:nvPicPr>
            <xdr:cNvPr id="23" name="Graphic 22" descr="Car with solid fill">
              <a:extLst>
                <a:ext uri="{FF2B5EF4-FFF2-40B4-BE49-F238E27FC236}">
                  <a16:creationId xmlns:a16="http://schemas.microsoft.com/office/drawing/2014/main" id="{C81D5DB6-CA1B-A497-96DE-F07AC888381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6934201" y="1905001"/>
              <a:ext cx="548640" cy="548640"/>
            </a:xfrm>
            <a:prstGeom prst="rect">
              <a:avLst/>
            </a:prstGeom>
          </xdr:spPr>
        </xdr:pic>
      </xdr:grpSp>
      <xdr:grpSp>
        <xdr:nvGrpSpPr>
          <xdr:cNvPr id="15" name="Group 14">
            <a:extLst>
              <a:ext uri="{FF2B5EF4-FFF2-40B4-BE49-F238E27FC236}">
                <a16:creationId xmlns:a16="http://schemas.microsoft.com/office/drawing/2014/main" id="{D20BDECF-5575-A0FD-1D50-6BD1F6FFF5FD}"/>
              </a:ext>
            </a:extLst>
          </xdr:cNvPr>
          <xdr:cNvGrpSpPr/>
        </xdr:nvGrpSpPr>
        <xdr:grpSpPr>
          <a:xfrm>
            <a:off x="8729679" y="1333501"/>
            <a:ext cx="1873010" cy="1382487"/>
            <a:chOff x="8729679" y="1333501"/>
            <a:chExt cx="1873010" cy="1382487"/>
          </a:xfrm>
        </xdr:grpSpPr>
        <xdr:grpSp>
          <xdr:nvGrpSpPr>
            <xdr:cNvPr id="16" name="Group 15">
              <a:extLst>
                <a:ext uri="{FF2B5EF4-FFF2-40B4-BE49-F238E27FC236}">
                  <a16:creationId xmlns:a16="http://schemas.microsoft.com/office/drawing/2014/main" id="{FC53173E-9157-5AAF-CE48-147194BC19D9}"/>
                </a:ext>
              </a:extLst>
            </xdr:cNvPr>
            <xdr:cNvGrpSpPr/>
          </xdr:nvGrpSpPr>
          <xdr:grpSpPr>
            <a:xfrm>
              <a:off x="8729679" y="1333501"/>
              <a:ext cx="1873010" cy="1382487"/>
              <a:chOff x="8729679" y="1318261"/>
              <a:chExt cx="1873010" cy="1367247"/>
            </a:xfrm>
          </xdr:grpSpPr>
          <xdr:sp macro="" textlink="">
            <xdr:nvSpPr>
              <xdr:cNvPr id="19" name="Rectangle: Rounded Corners 18">
                <a:extLst>
                  <a:ext uri="{FF2B5EF4-FFF2-40B4-BE49-F238E27FC236}">
                    <a16:creationId xmlns:a16="http://schemas.microsoft.com/office/drawing/2014/main" id="{1A06CD97-A068-E250-03B9-7C4A28A25346}"/>
                  </a:ext>
                </a:extLst>
              </xdr:cNvPr>
              <xdr:cNvSpPr/>
            </xdr:nvSpPr>
            <xdr:spPr>
              <a:xfrm>
                <a:off x="8729679" y="1318261"/>
                <a:ext cx="1873010" cy="1367247"/>
              </a:xfrm>
              <a:prstGeom prst="roundRect">
                <a:avLst/>
              </a:prstGeom>
              <a:gradFill flip="none" rotWithShape="1">
                <a:gsLst>
                  <a:gs pos="32000">
                    <a:srgbClr val="1C948E"/>
                  </a:gs>
                  <a:gs pos="0">
                    <a:srgbClr val="F3FBF9"/>
                  </a:gs>
                  <a:gs pos="48000">
                    <a:srgbClr val="097B19"/>
                  </a:gs>
                  <a:gs pos="75000">
                    <a:srgbClr val="097B19"/>
                  </a:gs>
                  <a:gs pos="87000">
                    <a:schemeClr val="accent1">
                      <a:lumMod val="30000"/>
                      <a:lumOff val="70000"/>
                    </a:schemeClr>
                  </a:gs>
                </a:gsLst>
                <a:lin ang="5400000" scaled="1"/>
                <a:tileRect/>
              </a:gradFill>
              <a:ln>
                <a:solidFill>
                  <a:schemeClr val="bg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TextBox 19">
                <a:extLst>
                  <a:ext uri="{FF2B5EF4-FFF2-40B4-BE49-F238E27FC236}">
                    <a16:creationId xmlns:a16="http://schemas.microsoft.com/office/drawing/2014/main" id="{1432BCCA-F12B-4AC7-2DCA-C70414B9C616}"/>
                  </a:ext>
                </a:extLst>
              </xdr:cNvPr>
              <xdr:cNvSpPr txBox="1"/>
            </xdr:nvSpPr>
            <xdr:spPr>
              <a:xfrm>
                <a:off x="8866839" y="1346201"/>
                <a:ext cx="1587500" cy="416560"/>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US" sz="1600"/>
                  <a:t>No.of Car</a:t>
                </a:r>
                <a:r>
                  <a:rPr lang="en-US" sz="1600" baseline="0"/>
                  <a:t> Brands </a:t>
                </a:r>
                <a:endParaRPr lang="en-US" sz="1600"/>
              </a:p>
            </xdr:txBody>
          </xdr:sp>
        </xdr:grpSp>
        <xdr:sp macro="" textlink="KPIs!C10">
          <xdr:nvSpPr>
            <xdr:cNvPr id="17" name="TextBox 16">
              <a:extLst>
                <a:ext uri="{FF2B5EF4-FFF2-40B4-BE49-F238E27FC236}">
                  <a16:creationId xmlns:a16="http://schemas.microsoft.com/office/drawing/2014/main" id="{8F723712-F84D-C9E7-5B43-2D515B697CF0}"/>
                </a:ext>
              </a:extLst>
            </xdr:cNvPr>
            <xdr:cNvSpPr txBox="1"/>
          </xdr:nvSpPr>
          <xdr:spPr>
            <a:xfrm>
              <a:off x="9624059" y="1888672"/>
              <a:ext cx="919179" cy="570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A391D7-CF93-4F62-B23B-48CE5A575F9C}" type="TxLink">
                <a:rPr lang="en-US" sz="2000" b="0" i="0" u="none" strike="noStrike">
                  <a:solidFill>
                    <a:srgbClr val="000000"/>
                  </a:solidFill>
                  <a:latin typeface="Aptos Narrow"/>
                </a:rPr>
                <a:pPr algn="ctr"/>
                <a:t>23</a:t>
              </a:fld>
              <a:endParaRPr lang="en-US" sz="4000"/>
            </a:p>
          </xdr:txBody>
        </xdr:sp>
        <xdr:pic>
          <xdr:nvPicPr>
            <xdr:cNvPr id="18" name="Graphic 17" descr="Target with solid fill">
              <a:extLst>
                <a:ext uri="{FF2B5EF4-FFF2-40B4-BE49-F238E27FC236}">
                  <a16:creationId xmlns:a16="http://schemas.microsoft.com/office/drawing/2014/main" id="{29504AD7-7C7A-A2DA-7237-60FD01C63D01}"/>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8913001" y="1902601"/>
              <a:ext cx="548640" cy="548640"/>
            </a:xfrm>
            <a:prstGeom prst="rect">
              <a:avLst/>
            </a:prstGeom>
          </xdr:spPr>
        </xdr:pic>
      </xdr:grpSp>
    </xdr:grpSp>
    <xdr:clientData/>
  </xdr:twoCellAnchor>
  <xdr:twoCellAnchor editAs="oneCell">
    <xdr:from>
      <xdr:col>0</xdr:col>
      <xdr:colOff>246742</xdr:colOff>
      <xdr:row>18</xdr:row>
      <xdr:rowOff>10884</xdr:rowOff>
    </xdr:from>
    <xdr:to>
      <xdr:col>1</xdr:col>
      <xdr:colOff>486228</xdr:colOff>
      <xdr:row>22</xdr:row>
      <xdr:rowOff>119742</xdr:rowOff>
    </xdr:to>
    <xdr:pic>
      <xdr:nvPicPr>
        <xdr:cNvPr id="42" name="Graphic 41" descr="Chevron arrows with solid fill">
          <a:hlinkClick xmlns:r="http://schemas.openxmlformats.org/officeDocument/2006/relationships" r:id="rId14"/>
          <a:extLst>
            <a:ext uri="{FF2B5EF4-FFF2-40B4-BE49-F238E27FC236}">
              <a16:creationId xmlns:a16="http://schemas.microsoft.com/office/drawing/2014/main" id="{1025F65C-DAC9-4A3B-AD37-0DA1FBCB35A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246742" y="3302724"/>
          <a:ext cx="849086" cy="840378"/>
        </a:xfrm>
        <a:prstGeom prst="rect">
          <a:avLst/>
        </a:prstGeom>
      </xdr:spPr>
    </xdr:pic>
    <xdr:clientData/>
  </xdr:twoCellAnchor>
  <xdr:twoCellAnchor>
    <xdr:from>
      <xdr:col>2</xdr:col>
      <xdr:colOff>252242</xdr:colOff>
      <xdr:row>18</xdr:row>
      <xdr:rowOff>71120</xdr:rowOff>
    </xdr:from>
    <xdr:to>
      <xdr:col>16</xdr:col>
      <xdr:colOff>254000</xdr:colOff>
      <xdr:row>41</xdr:row>
      <xdr:rowOff>5080</xdr:rowOff>
    </xdr:to>
    <xdr:graphicFrame macro="">
      <xdr:nvGraphicFramePr>
        <xdr:cNvPr id="48" name="Chart 47">
          <a:extLst>
            <a:ext uri="{FF2B5EF4-FFF2-40B4-BE49-F238E27FC236}">
              <a16:creationId xmlns:a16="http://schemas.microsoft.com/office/drawing/2014/main" id="{252C2EE1-1972-42A2-877B-5E8024DC85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17</xdr:col>
      <xdr:colOff>81279</xdr:colOff>
      <xdr:row>18</xdr:row>
      <xdr:rowOff>71120</xdr:rowOff>
    </xdr:from>
    <xdr:to>
      <xdr:col>29</xdr:col>
      <xdr:colOff>538479</xdr:colOff>
      <xdr:row>41</xdr:row>
      <xdr:rowOff>5080</xdr:rowOff>
    </xdr:to>
    <xdr:graphicFrame macro="">
      <xdr:nvGraphicFramePr>
        <xdr:cNvPr id="49" name="Chart 48">
          <a:extLst>
            <a:ext uri="{FF2B5EF4-FFF2-40B4-BE49-F238E27FC236}">
              <a16:creationId xmlns:a16="http://schemas.microsoft.com/office/drawing/2014/main" id="{7691D96A-1601-4AF4-8432-13680EFC5F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11</xdr:col>
      <xdr:colOff>305888</xdr:colOff>
      <xdr:row>41</xdr:row>
      <xdr:rowOff>170722</xdr:rowOff>
    </xdr:from>
    <xdr:to>
      <xdr:col>20</xdr:col>
      <xdr:colOff>123008</xdr:colOff>
      <xdr:row>67</xdr:row>
      <xdr:rowOff>119922</xdr:rowOff>
    </xdr:to>
    <xdr:graphicFrame macro="">
      <xdr:nvGraphicFramePr>
        <xdr:cNvPr id="50" name="Chart 49">
          <a:extLst>
            <a:ext uri="{FF2B5EF4-FFF2-40B4-BE49-F238E27FC236}">
              <a16:creationId xmlns:a16="http://schemas.microsoft.com/office/drawing/2014/main" id="{D1E25537-29BA-431D-B7B5-940C50ABC1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20</xdr:col>
      <xdr:colOff>346528</xdr:colOff>
      <xdr:row>42</xdr:row>
      <xdr:rowOff>5622</xdr:rowOff>
    </xdr:from>
    <xdr:to>
      <xdr:col>29</xdr:col>
      <xdr:colOff>508000</xdr:colOff>
      <xdr:row>67</xdr:row>
      <xdr:rowOff>132622</xdr:rowOff>
    </xdr:to>
    <xdr:graphicFrame macro="">
      <xdr:nvGraphicFramePr>
        <xdr:cNvPr id="51" name="Chart 50">
          <a:extLst>
            <a:ext uri="{FF2B5EF4-FFF2-40B4-BE49-F238E27FC236}">
              <a16:creationId xmlns:a16="http://schemas.microsoft.com/office/drawing/2014/main" id="{1B90E47F-6755-43BB-827C-8A3326F0E7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xdr:col>
      <xdr:colOff>328748</xdr:colOff>
      <xdr:row>41</xdr:row>
      <xdr:rowOff>132622</xdr:rowOff>
    </xdr:from>
    <xdr:to>
      <xdr:col>11</xdr:col>
      <xdr:colOff>145868</xdr:colOff>
      <xdr:row>67</xdr:row>
      <xdr:rowOff>81822</xdr:rowOff>
    </xdr:to>
    <xdr:graphicFrame macro="">
      <xdr:nvGraphicFramePr>
        <xdr:cNvPr id="52" name="Chart 51">
          <a:extLst>
            <a:ext uri="{FF2B5EF4-FFF2-40B4-BE49-F238E27FC236}">
              <a16:creationId xmlns:a16="http://schemas.microsoft.com/office/drawing/2014/main" id="{3442C30C-EFD7-40C6-B00B-7B63A11302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2</xdr:row>
      <xdr:rowOff>175260</xdr:rowOff>
    </xdr:from>
    <xdr:to>
      <xdr:col>12</xdr:col>
      <xdr:colOff>304800</xdr:colOff>
      <xdr:row>17</xdr:row>
      <xdr:rowOff>175260</xdr:rowOff>
    </xdr:to>
    <xdr:graphicFrame macro="">
      <xdr:nvGraphicFramePr>
        <xdr:cNvPr id="2" name="Chart 1">
          <a:extLst>
            <a:ext uri="{FF2B5EF4-FFF2-40B4-BE49-F238E27FC236}">
              <a16:creationId xmlns:a16="http://schemas.microsoft.com/office/drawing/2014/main" id="{5344A2D2-AC5E-743C-E95E-46ED346AAC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426720</xdr:colOff>
      <xdr:row>1</xdr:row>
      <xdr:rowOff>53340</xdr:rowOff>
    </xdr:from>
    <xdr:to>
      <xdr:col>12</xdr:col>
      <xdr:colOff>533400</xdr:colOff>
      <xdr:row>20</xdr:row>
      <xdr:rowOff>30480</xdr:rowOff>
    </xdr:to>
    <xdr:graphicFrame macro="">
      <xdr:nvGraphicFramePr>
        <xdr:cNvPr id="2" name="Chart 1">
          <a:extLst>
            <a:ext uri="{FF2B5EF4-FFF2-40B4-BE49-F238E27FC236}">
              <a16:creationId xmlns:a16="http://schemas.microsoft.com/office/drawing/2014/main" id="{A1656919-B0DD-6B0A-9ADF-7E08288EF9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236220</xdr:colOff>
      <xdr:row>3</xdr:row>
      <xdr:rowOff>0</xdr:rowOff>
    </xdr:from>
    <xdr:to>
      <xdr:col>11</xdr:col>
      <xdr:colOff>541020</xdr:colOff>
      <xdr:row>18</xdr:row>
      <xdr:rowOff>0</xdr:rowOff>
    </xdr:to>
    <xdr:graphicFrame macro="">
      <xdr:nvGraphicFramePr>
        <xdr:cNvPr id="2" name="Chart 1">
          <a:extLst>
            <a:ext uri="{FF2B5EF4-FFF2-40B4-BE49-F238E27FC236}">
              <a16:creationId xmlns:a16="http://schemas.microsoft.com/office/drawing/2014/main" id="{0EA27EB4-D1C0-4437-A5BA-54F49805BF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243840</xdr:colOff>
      <xdr:row>2</xdr:row>
      <xdr:rowOff>60960</xdr:rowOff>
    </xdr:from>
    <xdr:to>
      <xdr:col>12</xdr:col>
      <xdr:colOff>342900</xdr:colOff>
      <xdr:row>17</xdr:row>
      <xdr:rowOff>60960</xdr:rowOff>
    </xdr:to>
    <xdr:graphicFrame macro="">
      <xdr:nvGraphicFramePr>
        <xdr:cNvPr id="3" name="Chart 2">
          <a:extLst>
            <a:ext uri="{FF2B5EF4-FFF2-40B4-BE49-F238E27FC236}">
              <a16:creationId xmlns:a16="http://schemas.microsoft.com/office/drawing/2014/main" id="{769C402E-9433-663F-BD39-EC6BA7A633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2</xdr:row>
      <xdr:rowOff>45720</xdr:rowOff>
    </xdr:from>
    <xdr:to>
      <xdr:col>16</xdr:col>
      <xdr:colOff>0</xdr:colOff>
      <xdr:row>16</xdr:row>
      <xdr:rowOff>66675</xdr:rowOff>
    </xdr:to>
    <mc:AlternateContent xmlns:mc="http://schemas.openxmlformats.org/markup-compatibility/2006">
      <mc:Choice xmlns:a14="http://schemas.microsoft.com/office/drawing/2010/main" Requires="a14">
        <xdr:graphicFrame macro="">
          <xdr:nvGraphicFramePr>
            <xdr:cNvPr id="4" name="Brand">
              <a:extLst>
                <a:ext uri="{FF2B5EF4-FFF2-40B4-BE49-F238E27FC236}">
                  <a16:creationId xmlns:a16="http://schemas.microsoft.com/office/drawing/2014/main" id="{623AD5D3-1443-B69E-A8AC-1995D241622C}"/>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8763000" y="4114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457200</xdr:colOff>
      <xdr:row>0</xdr:row>
      <xdr:rowOff>106680</xdr:rowOff>
    </xdr:from>
    <xdr:to>
      <xdr:col>12</xdr:col>
      <xdr:colOff>152400</xdr:colOff>
      <xdr:row>15</xdr:row>
      <xdr:rowOff>106680</xdr:rowOff>
    </xdr:to>
    <xdr:graphicFrame macro="">
      <xdr:nvGraphicFramePr>
        <xdr:cNvPr id="3" name="Chart 2">
          <a:extLst>
            <a:ext uri="{FF2B5EF4-FFF2-40B4-BE49-F238E27FC236}">
              <a16:creationId xmlns:a16="http://schemas.microsoft.com/office/drawing/2014/main" id="{C59FE70C-325E-32B4-E83E-48F51276C9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137160</xdr:colOff>
      <xdr:row>4</xdr:row>
      <xdr:rowOff>99060</xdr:rowOff>
    </xdr:from>
    <xdr:to>
      <xdr:col>13</xdr:col>
      <xdr:colOff>129540</xdr:colOff>
      <xdr:row>23</xdr:row>
      <xdr:rowOff>60960</xdr:rowOff>
    </xdr:to>
    <xdr:graphicFrame macro="">
      <xdr:nvGraphicFramePr>
        <xdr:cNvPr id="2" name="Chart 1">
          <a:extLst>
            <a:ext uri="{FF2B5EF4-FFF2-40B4-BE49-F238E27FC236}">
              <a16:creationId xmlns:a16="http://schemas.microsoft.com/office/drawing/2014/main" id="{72D07EDA-5C13-FD72-FEE6-6C7988BEFF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320040</xdr:colOff>
      <xdr:row>5</xdr:row>
      <xdr:rowOff>22860</xdr:rowOff>
    </xdr:from>
    <xdr:to>
      <xdr:col>16</xdr:col>
      <xdr:colOff>320040</xdr:colOff>
      <xdr:row>21</xdr:row>
      <xdr:rowOff>7620</xdr:rowOff>
    </xdr:to>
    <mc:AlternateContent xmlns:mc="http://schemas.openxmlformats.org/markup-compatibility/2006">
      <mc:Choice xmlns:a14="http://schemas.microsoft.com/office/drawing/2010/main" Requires="a14">
        <xdr:graphicFrame macro="">
          <xdr:nvGraphicFramePr>
            <xdr:cNvPr id="3" name="State">
              <a:extLst>
                <a:ext uri="{FF2B5EF4-FFF2-40B4-BE49-F238E27FC236}">
                  <a16:creationId xmlns:a16="http://schemas.microsoft.com/office/drawing/2014/main" id="{F666F10A-36EF-53A0-0617-E1CED128AC61}"/>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9083040" y="937260"/>
              <a:ext cx="1828800" cy="2910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4</xdr:col>
      <xdr:colOff>358140</xdr:colOff>
      <xdr:row>1</xdr:row>
      <xdr:rowOff>106680</xdr:rowOff>
    </xdr:from>
    <xdr:to>
      <xdr:col>12</xdr:col>
      <xdr:colOff>53340</xdr:colOff>
      <xdr:row>16</xdr:row>
      <xdr:rowOff>106680</xdr:rowOff>
    </xdr:to>
    <xdr:graphicFrame macro="">
      <xdr:nvGraphicFramePr>
        <xdr:cNvPr id="2" name="Chart 1">
          <a:extLst>
            <a:ext uri="{FF2B5EF4-FFF2-40B4-BE49-F238E27FC236}">
              <a16:creationId xmlns:a16="http://schemas.microsoft.com/office/drawing/2014/main" id="{90E1EFB1-CE09-7614-B68B-690B8DFA46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243840</xdr:colOff>
      <xdr:row>4</xdr:row>
      <xdr:rowOff>7620</xdr:rowOff>
    </xdr:from>
    <xdr:to>
      <xdr:col>12</xdr:col>
      <xdr:colOff>449580</xdr:colOff>
      <xdr:row>19</xdr:row>
      <xdr:rowOff>7620</xdr:rowOff>
    </xdr:to>
    <xdr:graphicFrame macro="">
      <xdr:nvGraphicFramePr>
        <xdr:cNvPr id="2" name="Chart 1">
          <a:extLst>
            <a:ext uri="{FF2B5EF4-FFF2-40B4-BE49-F238E27FC236}">
              <a16:creationId xmlns:a16="http://schemas.microsoft.com/office/drawing/2014/main" id="{257C9197-1D7F-EFF6-FA58-4288224C55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320040</xdr:colOff>
      <xdr:row>2</xdr:row>
      <xdr:rowOff>144780</xdr:rowOff>
    </xdr:from>
    <xdr:to>
      <xdr:col>12</xdr:col>
      <xdr:colOff>495300</xdr:colOff>
      <xdr:row>17</xdr:row>
      <xdr:rowOff>144780</xdr:rowOff>
    </xdr:to>
    <xdr:graphicFrame macro="">
      <xdr:nvGraphicFramePr>
        <xdr:cNvPr id="2" name="Chart 1">
          <a:extLst>
            <a:ext uri="{FF2B5EF4-FFF2-40B4-BE49-F238E27FC236}">
              <a16:creationId xmlns:a16="http://schemas.microsoft.com/office/drawing/2014/main" id="{5E9B6EC5-DE7C-D18B-894B-A79E2A5227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243840</xdr:colOff>
      <xdr:row>2</xdr:row>
      <xdr:rowOff>175260</xdr:rowOff>
    </xdr:from>
    <xdr:to>
      <xdr:col>12</xdr:col>
      <xdr:colOff>548640</xdr:colOff>
      <xdr:row>17</xdr:row>
      <xdr:rowOff>175260</xdr:rowOff>
    </xdr:to>
    <xdr:graphicFrame macro="">
      <xdr:nvGraphicFramePr>
        <xdr:cNvPr id="2" name="Chart 1">
          <a:extLst>
            <a:ext uri="{FF2B5EF4-FFF2-40B4-BE49-F238E27FC236}">
              <a16:creationId xmlns:a16="http://schemas.microsoft.com/office/drawing/2014/main" id="{5E84B781-2D2C-FBB0-6DBC-ACAB8CD1CB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NA" refreshedDate="45976.167431481481" createdVersion="8" refreshedVersion="8" minRefreshableVersion="3" recordCount="250" xr:uid="{CBD2D883-9C9D-40C5-9812-A742AA3DAFB5}">
  <cacheSource type="worksheet">
    <worksheetSource name="Table1"/>
  </cacheSource>
  <cacheFields count="13">
    <cacheField name="Date" numFmtId="14">
      <sharedItems containsSemiMixedTypes="0" containsNonDate="0" containsDate="1" containsString="0" minDate="2015-06-26T00:00:00" maxDate="2025-05-28T00:00:00" count="240">
        <d v="2019-06-23T00:00:00"/>
        <d v="2017-06-22T00:00:00"/>
        <d v="2019-05-03T00:00:00"/>
        <d v="2015-07-28T00:00:00"/>
        <d v="2020-12-20T00:00:00"/>
        <d v="2018-12-12T00:00:00"/>
        <d v="2019-11-19T00:00:00"/>
        <d v="2017-01-11T00:00:00"/>
        <d v="2020-05-19T00:00:00"/>
        <d v="2022-04-16T00:00:00"/>
        <d v="2017-01-24T00:00:00"/>
        <d v="2017-10-08T00:00:00"/>
        <d v="2018-02-28T00:00:00"/>
        <d v="2020-04-24T00:00:00"/>
        <d v="2016-12-29T00:00:00"/>
        <d v="2020-02-20T00:00:00"/>
        <d v="2020-04-01T00:00:00"/>
        <d v="2020-05-28T00:00:00"/>
        <d v="2017-05-19T00:00:00"/>
        <d v="2019-06-19T00:00:00"/>
        <d v="2021-11-20T00:00:00"/>
        <d v="2025-05-24T00:00:00"/>
        <d v="2020-10-26T00:00:00"/>
        <d v="2018-02-11T00:00:00"/>
        <d v="2018-05-02T00:00:00"/>
        <d v="2017-07-17T00:00:00"/>
        <d v="2017-08-22T00:00:00"/>
        <d v="2020-01-15T00:00:00"/>
        <d v="2023-07-02T00:00:00"/>
        <d v="2018-08-22T00:00:00"/>
        <d v="2024-03-04T00:00:00"/>
        <d v="2018-11-30T00:00:00"/>
        <d v="2021-12-15T00:00:00"/>
        <d v="2022-03-08T00:00:00"/>
        <d v="2024-10-19T00:00:00"/>
        <d v="2019-07-08T00:00:00"/>
        <d v="2018-09-14T00:00:00"/>
        <d v="2021-03-12T00:00:00"/>
        <d v="2015-11-23T00:00:00"/>
        <d v="2017-03-23T00:00:00"/>
        <d v="2017-10-05T00:00:00"/>
        <d v="2022-02-12T00:00:00"/>
        <d v="2024-09-12T00:00:00"/>
        <d v="2020-10-04T00:00:00"/>
        <d v="2015-07-27T00:00:00"/>
        <d v="2018-08-20T00:00:00"/>
        <d v="2022-01-31T00:00:00"/>
        <d v="2021-01-10T00:00:00"/>
        <d v="2021-07-12T00:00:00"/>
        <d v="2015-07-08T00:00:00"/>
        <d v="2023-03-02T00:00:00"/>
        <d v="2020-08-23T00:00:00"/>
        <d v="2022-04-06T00:00:00"/>
        <d v="2016-04-28T00:00:00"/>
        <d v="2018-05-05T00:00:00"/>
        <d v="2019-07-21T00:00:00"/>
        <d v="2024-09-06T00:00:00"/>
        <d v="2019-04-30T00:00:00"/>
        <d v="2018-07-11T00:00:00"/>
        <d v="2022-10-31T00:00:00"/>
        <d v="2015-07-21T00:00:00"/>
        <d v="2018-03-25T00:00:00"/>
        <d v="2024-09-17T00:00:00"/>
        <d v="2019-05-14T00:00:00"/>
        <d v="2015-09-15T00:00:00"/>
        <d v="2016-08-23T00:00:00"/>
        <d v="2019-02-22T00:00:00"/>
        <d v="2018-04-12T00:00:00"/>
        <d v="2020-11-13T00:00:00"/>
        <d v="2017-08-18T00:00:00"/>
        <d v="2021-10-02T00:00:00"/>
        <d v="2017-09-20T00:00:00"/>
        <d v="2018-09-21T00:00:00"/>
        <d v="2021-07-23T00:00:00"/>
        <d v="2020-10-14T00:00:00"/>
        <d v="2022-02-10T00:00:00"/>
        <d v="2018-11-25T00:00:00"/>
        <d v="2024-12-26T00:00:00"/>
        <d v="2019-03-16T00:00:00"/>
        <d v="2025-01-07T00:00:00"/>
        <d v="2019-09-01T00:00:00"/>
        <d v="2018-02-27T00:00:00"/>
        <d v="2021-12-30T00:00:00"/>
        <d v="2018-08-28T00:00:00"/>
        <d v="2018-08-30T00:00:00"/>
        <d v="2018-06-22T00:00:00"/>
        <d v="2019-05-19T00:00:00"/>
        <d v="2018-05-29T00:00:00"/>
        <d v="2023-12-22T00:00:00"/>
        <d v="2020-03-21T00:00:00"/>
        <d v="2024-04-20T00:00:00"/>
        <d v="2025-04-20T00:00:00"/>
        <d v="2021-08-22T00:00:00"/>
        <d v="2023-05-05T00:00:00"/>
        <d v="2023-01-30T00:00:00"/>
        <d v="2021-11-23T00:00:00"/>
        <d v="2021-10-03T00:00:00"/>
        <d v="2017-12-22T00:00:00"/>
        <d v="2016-06-19T00:00:00"/>
        <d v="2021-10-14T00:00:00"/>
        <d v="2024-10-12T00:00:00"/>
        <d v="2021-05-03T00:00:00"/>
        <d v="2016-09-15T00:00:00"/>
        <d v="2025-02-08T00:00:00"/>
        <d v="2015-07-29T00:00:00"/>
        <d v="2020-01-21T00:00:00"/>
        <d v="2024-05-23T00:00:00"/>
        <d v="2021-11-12T00:00:00"/>
        <d v="2017-04-17T00:00:00"/>
        <d v="2020-04-20T00:00:00"/>
        <d v="2016-07-27T00:00:00"/>
        <d v="2016-07-11T00:00:00"/>
        <d v="2018-08-02T00:00:00"/>
        <d v="2018-10-21T00:00:00"/>
        <d v="2016-08-25T00:00:00"/>
        <d v="2017-03-25T00:00:00"/>
        <d v="2023-12-11T00:00:00"/>
        <d v="2020-11-16T00:00:00"/>
        <d v="2018-04-10T00:00:00"/>
        <d v="2022-02-25T00:00:00"/>
        <d v="2016-07-23T00:00:00"/>
        <d v="2017-11-02T00:00:00"/>
        <d v="2021-03-06T00:00:00"/>
        <d v="2023-10-10T00:00:00"/>
        <d v="2023-01-14T00:00:00"/>
        <d v="2023-02-12T00:00:00"/>
        <d v="2018-10-06T00:00:00"/>
        <d v="2024-09-21T00:00:00"/>
        <d v="2020-06-27T00:00:00"/>
        <d v="2019-03-07T00:00:00"/>
        <d v="2023-07-23T00:00:00"/>
        <d v="2023-09-10T00:00:00"/>
        <d v="2024-07-07T00:00:00"/>
        <d v="2021-02-11T00:00:00"/>
        <d v="2022-01-29T00:00:00"/>
        <d v="2018-11-24T00:00:00"/>
        <d v="2016-08-10T00:00:00"/>
        <d v="2018-01-26T00:00:00"/>
        <d v="2021-07-08T00:00:00"/>
        <d v="2025-03-18T00:00:00"/>
        <d v="2017-09-16T00:00:00"/>
        <d v="2020-03-07T00:00:00"/>
        <d v="2017-03-24T00:00:00"/>
        <d v="2022-05-05T00:00:00"/>
        <d v="2023-02-03T00:00:00"/>
        <d v="2021-01-16T00:00:00"/>
        <d v="2021-06-23T00:00:00"/>
        <d v="2022-04-01T00:00:00"/>
        <d v="2020-05-06T00:00:00"/>
        <d v="2022-06-13T00:00:00"/>
        <d v="2018-04-24T00:00:00"/>
        <d v="2022-05-17T00:00:00"/>
        <d v="2025-05-27T00:00:00"/>
        <d v="2016-08-03T00:00:00"/>
        <d v="2016-11-11T00:00:00"/>
        <d v="2017-07-24T00:00:00"/>
        <d v="2015-06-26T00:00:00"/>
        <d v="2022-01-23T00:00:00"/>
        <d v="2017-08-31T00:00:00"/>
        <d v="2022-08-09T00:00:00"/>
        <d v="2016-07-10T00:00:00"/>
        <d v="2022-07-26T00:00:00"/>
        <d v="2019-10-02T00:00:00"/>
        <d v="2023-03-14T00:00:00"/>
        <d v="2018-08-03T00:00:00"/>
        <d v="2023-03-26T00:00:00"/>
        <d v="2018-01-18T00:00:00"/>
        <d v="2020-12-25T00:00:00"/>
        <d v="2017-11-12T00:00:00"/>
        <d v="2019-10-20T00:00:00"/>
        <d v="2021-10-23T00:00:00"/>
        <d v="2017-12-15T00:00:00"/>
        <d v="2019-07-17T00:00:00"/>
        <d v="2025-05-20T00:00:00"/>
        <d v="2020-12-24T00:00:00"/>
        <d v="2021-06-18T00:00:00"/>
        <d v="2025-05-09T00:00:00"/>
        <d v="2021-04-12T00:00:00"/>
        <d v="2016-02-23T00:00:00"/>
        <d v="2022-04-08T00:00:00"/>
        <d v="2015-10-22T00:00:00"/>
        <d v="2016-06-08T00:00:00"/>
        <d v="2018-05-21T00:00:00"/>
        <d v="2022-04-19T00:00:00"/>
        <d v="2016-10-12T00:00:00"/>
        <d v="2022-10-05T00:00:00"/>
        <d v="2017-08-03T00:00:00"/>
        <d v="2019-06-11T00:00:00"/>
        <d v="2025-01-10T00:00:00"/>
        <d v="2016-06-06T00:00:00"/>
        <d v="2020-06-05T00:00:00"/>
        <d v="2017-01-01T00:00:00"/>
        <d v="2022-12-04T00:00:00"/>
        <d v="2015-09-20T00:00:00"/>
        <d v="2022-01-24T00:00:00"/>
        <d v="2023-09-21T00:00:00"/>
        <d v="2022-06-28T00:00:00"/>
        <d v="2021-09-15T00:00:00"/>
        <d v="2021-11-09T00:00:00"/>
        <d v="2023-07-30T00:00:00"/>
        <d v="2018-07-21T00:00:00"/>
        <d v="2021-06-04T00:00:00"/>
        <d v="2020-09-13T00:00:00"/>
        <d v="2019-12-03T00:00:00"/>
        <d v="2018-05-27T00:00:00"/>
        <d v="2022-10-02T00:00:00"/>
        <d v="2017-04-18T00:00:00"/>
        <d v="2020-02-15T00:00:00"/>
        <d v="2019-12-26T00:00:00"/>
        <d v="2017-11-10T00:00:00"/>
        <d v="2020-11-14T00:00:00"/>
        <d v="2018-02-07T00:00:00"/>
        <d v="2020-02-26T00:00:00"/>
        <d v="2015-09-22T00:00:00"/>
        <d v="2023-08-12T00:00:00"/>
        <d v="2018-11-05T00:00:00"/>
        <d v="2021-07-27T00:00:00"/>
        <d v="2019-12-18T00:00:00"/>
        <d v="2018-01-07T00:00:00"/>
        <d v="2017-09-22T00:00:00"/>
        <d v="2023-07-07T00:00:00"/>
        <d v="2025-03-31T00:00:00"/>
        <d v="2024-05-02T00:00:00"/>
        <d v="2018-10-15T00:00:00"/>
        <d v="2016-04-30T00:00:00"/>
        <d v="2022-11-19T00:00:00"/>
        <d v="2017-09-03T00:00:00"/>
        <d v="2017-12-23T00:00:00"/>
        <d v="2024-02-27T00:00:00"/>
        <d v="2018-08-13T00:00:00"/>
        <d v="2025-05-05T00:00:00"/>
        <d v="2017-11-19T00:00:00"/>
        <d v="2022-03-17T00:00:00"/>
        <d v="2015-12-20T00:00:00"/>
        <d v="2019-07-19T00:00:00"/>
        <d v="2015-11-20T00:00:00"/>
        <d v="2016-09-06T00:00:00"/>
        <d v="2021-10-10T00:00:00"/>
        <d v="2018-07-17T00:00:00"/>
        <d v="2019-02-08T00:00:00"/>
      </sharedItems>
      <fieldGroup par="12" base="0">
        <rangePr groupBy="months" startDate="2015-06-26T00:00:00" endDate="2025-05-28T00:00:00"/>
        <groupItems count="14">
          <s v="&lt;6/26/2015"/>
          <s v="Jan"/>
          <s v="Feb"/>
          <s v="Mar"/>
          <s v="Apr"/>
          <s v="May"/>
          <s v="Jun"/>
          <s v="Jul"/>
          <s v="Aug"/>
          <s v="Sep"/>
          <s v="Oct"/>
          <s v="Nov"/>
          <s v="Dec"/>
          <s v="&gt;5/28/2025"/>
        </groupItems>
      </fieldGroup>
    </cacheField>
    <cacheField name="Year" numFmtId="0">
      <sharedItems containsSemiMixedTypes="0" containsString="0" containsNumber="1" containsInteger="1" minValue="1990" maxValue="2024" count="35">
        <n v="2020"/>
        <n v="2011"/>
        <n v="2017"/>
        <n v="1998"/>
        <n v="2023"/>
        <n v="2001"/>
        <n v="2009"/>
        <n v="2003"/>
        <n v="2010"/>
        <n v="2012"/>
        <n v="2015"/>
        <n v="1994"/>
        <n v="2013"/>
        <n v="2021"/>
        <n v="2008"/>
        <n v="1991"/>
        <n v="2000"/>
        <n v="1997"/>
        <n v="2018"/>
        <n v="2007"/>
        <n v="1996"/>
        <n v="2024"/>
        <n v="2002"/>
        <n v="2019"/>
        <n v="2022"/>
        <n v="1990"/>
        <n v="1999"/>
        <n v="2006"/>
        <n v="1992"/>
        <n v="2016"/>
        <n v="2014"/>
        <n v="2004"/>
        <n v="1995"/>
        <n v="1993"/>
        <n v="2005"/>
      </sharedItems>
    </cacheField>
    <cacheField name="Brand" numFmtId="0">
      <sharedItems count="23">
        <s v="Aston Martin"/>
        <s v="Tesla"/>
        <s v="Lotus"/>
        <s v="Infiniti"/>
        <s v="Hyundai"/>
        <s v="Lexus"/>
        <s v="Lamborghini"/>
        <s v="Toyota"/>
        <s v="Chevrolet"/>
        <s v="Rolls Royce"/>
        <s v="Ferrari"/>
        <s v="Porsche"/>
        <s v="Nissan"/>
        <s v="Chrysler"/>
        <s v="Bentley"/>
        <s v="Fisker"/>
        <s v="Ford"/>
        <s v="BMW"/>
        <s v="Dodge"/>
        <s v="Kia"/>
        <s v="Honda"/>
        <s v="Mercedes-Benz"/>
        <s v="Maserati"/>
      </sharedItems>
    </cacheField>
    <cacheField name="State" numFmtId="0">
      <sharedItems count="10">
        <s v="Tennessee"/>
        <s v="Ohio"/>
        <s v="Georgia"/>
        <s v="Florida"/>
        <s v="Texas"/>
        <s v="Missouri"/>
        <s v="California"/>
        <s v="Pennsylvania"/>
        <s v="Illinois"/>
        <s v="New York"/>
      </sharedItems>
    </cacheField>
    <cacheField name="Color" numFmtId="0">
      <sharedItems count="18">
        <s v="Turquoise"/>
        <s v="Lime"/>
        <s v="Brown"/>
        <s v="Pink"/>
        <s v="Gray"/>
        <s v="Silver"/>
        <s v="Charcoal"/>
        <s v="Yellow"/>
        <s v="Orange"/>
        <s v="Black"/>
        <s v="Beige"/>
        <s v="Purple"/>
        <s v="Blue"/>
        <s v="White"/>
        <s v="Green"/>
        <s v="Off-White"/>
        <s v="Gold"/>
        <s v="Red"/>
      </sharedItems>
    </cacheField>
    <cacheField name="Condition" numFmtId="0">
      <sharedItems containsSemiMixedTypes="0" containsString="0" containsNumber="1" minValue="3.1" maxValue="41.3"/>
    </cacheField>
    <cacheField name="Body Type" numFmtId="0">
      <sharedItems count="10">
        <s v="Minivan"/>
        <s v="SuperCrew"/>
        <s v="Crew Cab"/>
        <s v="Sedan"/>
        <s v="G Sedan"/>
        <s v="Convertible"/>
        <s v="Hatchback"/>
        <s v="SUV"/>
        <s v="Wagon"/>
        <s v="Coupe"/>
      </sharedItems>
    </cacheField>
    <cacheField name="Transmission" numFmtId="0">
      <sharedItems count="2">
        <s v="Manual"/>
        <s v="Automatic"/>
      </sharedItems>
    </cacheField>
    <cacheField name="Unit Price" numFmtId="0">
      <sharedItems containsSemiMixedTypes="0" containsString="0" containsNumber="1" containsInteger="1" minValue="23000" maxValue="180000"/>
    </cacheField>
    <cacheField name="Quantity" numFmtId="0">
      <sharedItems containsSemiMixedTypes="0" containsString="0" containsNumber="1" containsInteger="1" minValue="1" maxValue="5"/>
    </cacheField>
    <cacheField name="Total Sales" numFmtId="0">
      <sharedItems containsSemiMixedTypes="0" containsString="0" containsNumber="1" containsInteger="1" minValue="23000" maxValue="900000"/>
    </cacheField>
    <cacheField name="Quarters" numFmtId="0" databaseField="0">
      <fieldGroup base="0">
        <rangePr groupBy="quarters" startDate="2015-06-26T00:00:00" endDate="2025-05-28T00:00:00"/>
        <groupItems count="6">
          <s v="&lt;6/26/2015"/>
          <s v="Qtr1"/>
          <s v="Qtr2"/>
          <s v="Qtr3"/>
          <s v="Qtr4"/>
          <s v="&gt;5/28/2025"/>
        </groupItems>
      </fieldGroup>
    </cacheField>
    <cacheField name="Years" numFmtId="0" databaseField="0">
      <fieldGroup base="0">
        <rangePr groupBy="years" startDate="2015-06-26T00:00:00" endDate="2025-05-28T00:00:00"/>
        <groupItems count="13">
          <s v="&lt;6/26/2015"/>
          <s v="2015"/>
          <s v="2016"/>
          <s v="2017"/>
          <s v="2018"/>
          <s v="2019"/>
          <s v="2020"/>
          <s v="2021"/>
          <s v="2022"/>
          <s v="2023"/>
          <s v="2024"/>
          <s v="2025"/>
          <s v="&gt;5/28/2025"/>
        </groupItems>
      </fieldGroup>
    </cacheField>
  </cacheFields>
  <extLst>
    <ext xmlns:x14="http://schemas.microsoft.com/office/spreadsheetml/2009/9/main" uri="{725AE2AE-9491-48be-B2B4-4EB974FC3084}">
      <x14:pivotCacheDefinition pivotCacheId="3555810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NA" refreshedDate="45976.172539467596" backgroundQuery="1" createdVersion="8" refreshedVersion="8" minRefreshableVersion="3" recordCount="0" supportSubquery="1" supportAdvancedDrill="1" xr:uid="{F6DD6516-97D5-4B08-B167-6FFDE6350EEB}">
  <cacheSource type="external" connectionId="1"/>
  <cacheFields count="1">
    <cacheField name="[Measures].[Sum of Distinict count of Brand]" caption="Sum of Distinict count of Brand" numFmtId="0" hierarchy="3" level="32767"/>
  </cacheFields>
  <cacheHierarchies count="4">
    <cacheHierarchy uniqueName="[Range].[Distinict count of Brand]" caption="Distinict count of Brand" attribute="1" defaultMemberUniqueName="[Range].[Distinict count of Brand].[All]" allUniqueName="[Range].[Distinict count of Brand].[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Distinict count of Brand]" caption="Sum of Distinict count of Bran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x v="0"/>
    <x v="0"/>
    <x v="0"/>
    <x v="0"/>
    <n v="38.1"/>
    <x v="0"/>
    <x v="0"/>
    <n v="70000"/>
    <n v="5"/>
    <n v="350000"/>
  </r>
  <r>
    <x v="1"/>
    <x v="1"/>
    <x v="1"/>
    <x v="1"/>
    <x v="1"/>
    <n v="28.3"/>
    <x v="1"/>
    <x v="0"/>
    <n v="80000"/>
    <n v="4"/>
    <n v="320000"/>
  </r>
  <r>
    <x v="2"/>
    <x v="2"/>
    <x v="2"/>
    <x v="2"/>
    <x v="2"/>
    <n v="32.9"/>
    <x v="2"/>
    <x v="0"/>
    <n v="50000"/>
    <n v="3"/>
    <n v="150000"/>
  </r>
  <r>
    <x v="3"/>
    <x v="3"/>
    <x v="3"/>
    <x v="3"/>
    <x v="3"/>
    <n v="11.7"/>
    <x v="3"/>
    <x v="1"/>
    <n v="45000"/>
    <n v="1"/>
    <n v="45000"/>
  </r>
  <r>
    <x v="4"/>
    <x v="4"/>
    <x v="4"/>
    <x v="4"/>
    <x v="4"/>
    <n v="38"/>
    <x v="4"/>
    <x v="1"/>
    <n v="24000"/>
    <n v="5"/>
    <n v="120000"/>
  </r>
  <r>
    <x v="5"/>
    <x v="5"/>
    <x v="5"/>
    <x v="2"/>
    <x v="5"/>
    <n v="16.7"/>
    <x v="4"/>
    <x v="1"/>
    <n v="47000"/>
    <n v="1"/>
    <n v="47000"/>
  </r>
  <r>
    <x v="6"/>
    <x v="6"/>
    <x v="6"/>
    <x v="0"/>
    <x v="3"/>
    <n v="24.7"/>
    <x v="2"/>
    <x v="1"/>
    <n v="140000"/>
    <n v="2"/>
    <n v="280000"/>
  </r>
  <r>
    <x v="7"/>
    <x v="1"/>
    <x v="4"/>
    <x v="5"/>
    <x v="5"/>
    <n v="25.5"/>
    <x v="0"/>
    <x v="0"/>
    <n v="24000"/>
    <n v="3"/>
    <n v="72000"/>
  </r>
  <r>
    <x v="8"/>
    <x v="7"/>
    <x v="7"/>
    <x v="3"/>
    <x v="6"/>
    <n v="20.5"/>
    <x v="4"/>
    <x v="1"/>
    <n v="29000"/>
    <n v="3"/>
    <n v="87000"/>
  </r>
  <r>
    <x v="9"/>
    <x v="3"/>
    <x v="8"/>
    <x v="6"/>
    <x v="7"/>
    <n v="13.2"/>
    <x v="1"/>
    <x v="0"/>
    <n v="32000"/>
    <n v="5"/>
    <n v="160000"/>
  </r>
  <r>
    <x v="10"/>
    <x v="8"/>
    <x v="2"/>
    <x v="5"/>
    <x v="8"/>
    <n v="22.7"/>
    <x v="5"/>
    <x v="1"/>
    <n v="50000"/>
    <n v="5"/>
    <n v="250000"/>
  </r>
  <r>
    <x v="11"/>
    <x v="9"/>
    <x v="9"/>
    <x v="0"/>
    <x v="9"/>
    <n v="28.7"/>
    <x v="6"/>
    <x v="1"/>
    <n v="180000"/>
    <n v="4"/>
    <n v="720000"/>
  </r>
  <r>
    <x v="12"/>
    <x v="5"/>
    <x v="1"/>
    <x v="6"/>
    <x v="10"/>
    <n v="18.899999999999999"/>
    <x v="4"/>
    <x v="0"/>
    <n v="80000"/>
    <n v="4"/>
    <n v="320000"/>
  </r>
  <r>
    <x v="13"/>
    <x v="10"/>
    <x v="5"/>
    <x v="7"/>
    <x v="11"/>
    <n v="30"/>
    <x v="5"/>
    <x v="0"/>
    <n v="47000"/>
    <n v="1"/>
    <n v="47000"/>
  </r>
  <r>
    <x v="14"/>
    <x v="7"/>
    <x v="10"/>
    <x v="0"/>
    <x v="1"/>
    <n v="20"/>
    <x v="7"/>
    <x v="0"/>
    <n v="160000"/>
    <n v="2"/>
    <n v="320000"/>
  </r>
  <r>
    <x v="15"/>
    <x v="11"/>
    <x v="11"/>
    <x v="6"/>
    <x v="1"/>
    <n v="12"/>
    <x v="0"/>
    <x v="1"/>
    <n v="52000"/>
    <n v="2"/>
    <n v="104000"/>
  </r>
  <r>
    <x v="16"/>
    <x v="12"/>
    <x v="1"/>
    <x v="2"/>
    <x v="12"/>
    <n v="28"/>
    <x v="8"/>
    <x v="0"/>
    <n v="80000"/>
    <n v="3"/>
    <n v="240000"/>
  </r>
  <r>
    <x v="17"/>
    <x v="13"/>
    <x v="1"/>
    <x v="6"/>
    <x v="0"/>
    <n v="34.1"/>
    <x v="2"/>
    <x v="1"/>
    <n v="80000"/>
    <n v="3"/>
    <n v="240000"/>
  </r>
  <r>
    <x v="18"/>
    <x v="4"/>
    <x v="12"/>
    <x v="8"/>
    <x v="6"/>
    <n v="37"/>
    <x v="7"/>
    <x v="1"/>
    <n v="28000"/>
    <n v="3"/>
    <n v="84000"/>
  </r>
  <r>
    <x v="19"/>
    <x v="14"/>
    <x v="13"/>
    <x v="2"/>
    <x v="13"/>
    <n v="24.8"/>
    <x v="8"/>
    <x v="0"/>
    <n v="25000"/>
    <n v="1"/>
    <n v="25000"/>
  </r>
  <r>
    <x v="20"/>
    <x v="15"/>
    <x v="14"/>
    <x v="5"/>
    <x v="1"/>
    <n v="6.7"/>
    <x v="3"/>
    <x v="1"/>
    <n v="120000"/>
    <n v="3"/>
    <n v="360000"/>
  </r>
  <r>
    <x v="21"/>
    <x v="6"/>
    <x v="15"/>
    <x v="1"/>
    <x v="7"/>
    <n v="23"/>
    <x v="7"/>
    <x v="0"/>
    <n v="60000"/>
    <n v="2"/>
    <n v="120000"/>
  </r>
  <r>
    <x v="22"/>
    <x v="16"/>
    <x v="16"/>
    <x v="9"/>
    <x v="7"/>
    <n v="17.399999999999999"/>
    <x v="6"/>
    <x v="0"/>
    <n v="30000"/>
    <n v="3"/>
    <n v="90000"/>
  </r>
  <r>
    <x v="23"/>
    <x v="2"/>
    <x v="2"/>
    <x v="5"/>
    <x v="12"/>
    <n v="35"/>
    <x v="9"/>
    <x v="0"/>
    <n v="50000"/>
    <n v="4"/>
    <n v="200000"/>
  </r>
  <r>
    <x v="24"/>
    <x v="10"/>
    <x v="17"/>
    <x v="0"/>
    <x v="14"/>
    <n v="29.6"/>
    <x v="4"/>
    <x v="0"/>
    <n v="50000"/>
    <n v="2"/>
    <n v="100000"/>
  </r>
  <r>
    <x v="25"/>
    <x v="17"/>
    <x v="18"/>
    <x v="0"/>
    <x v="15"/>
    <n v="13.1"/>
    <x v="3"/>
    <x v="0"/>
    <n v="27000"/>
    <n v="3"/>
    <n v="81000"/>
  </r>
  <r>
    <x v="26"/>
    <x v="5"/>
    <x v="18"/>
    <x v="6"/>
    <x v="14"/>
    <n v="17.3"/>
    <x v="4"/>
    <x v="1"/>
    <n v="27000"/>
    <n v="2"/>
    <n v="54000"/>
  </r>
  <r>
    <x v="27"/>
    <x v="8"/>
    <x v="14"/>
    <x v="2"/>
    <x v="14"/>
    <n v="26.4"/>
    <x v="6"/>
    <x v="1"/>
    <n v="120000"/>
    <n v="3"/>
    <n v="360000"/>
  </r>
  <r>
    <x v="5"/>
    <x v="13"/>
    <x v="11"/>
    <x v="8"/>
    <x v="3"/>
    <n v="35.1"/>
    <x v="6"/>
    <x v="1"/>
    <n v="52000"/>
    <n v="1"/>
    <n v="52000"/>
  </r>
  <r>
    <x v="28"/>
    <x v="3"/>
    <x v="5"/>
    <x v="6"/>
    <x v="9"/>
    <n v="11.8"/>
    <x v="2"/>
    <x v="1"/>
    <n v="47000"/>
    <n v="5"/>
    <n v="235000"/>
  </r>
  <r>
    <x v="29"/>
    <x v="2"/>
    <x v="12"/>
    <x v="8"/>
    <x v="12"/>
    <n v="31.6"/>
    <x v="7"/>
    <x v="0"/>
    <n v="28000"/>
    <n v="5"/>
    <n v="140000"/>
  </r>
  <r>
    <x v="30"/>
    <x v="16"/>
    <x v="19"/>
    <x v="6"/>
    <x v="3"/>
    <n v="13"/>
    <x v="1"/>
    <x v="0"/>
    <n v="23000"/>
    <n v="5"/>
    <n v="115000"/>
  </r>
  <r>
    <x v="31"/>
    <x v="18"/>
    <x v="13"/>
    <x v="1"/>
    <x v="3"/>
    <n v="36.799999999999997"/>
    <x v="9"/>
    <x v="1"/>
    <n v="25000"/>
    <n v="2"/>
    <n v="50000"/>
  </r>
  <r>
    <x v="32"/>
    <x v="19"/>
    <x v="18"/>
    <x v="4"/>
    <x v="3"/>
    <n v="24.1"/>
    <x v="9"/>
    <x v="1"/>
    <n v="27000"/>
    <n v="3"/>
    <n v="81000"/>
  </r>
  <r>
    <x v="33"/>
    <x v="10"/>
    <x v="19"/>
    <x v="0"/>
    <x v="16"/>
    <n v="33.1"/>
    <x v="5"/>
    <x v="1"/>
    <n v="23000"/>
    <n v="1"/>
    <n v="23000"/>
  </r>
  <r>
    <x v="34"/>
    <x v="7"/>
    <x v="0"/>
    <x v="1"/>
    <x v="0"/>
    <n v="15.7"/>
    <x v="1"/>
    <x v="1"/>
    <n v="70000"/>
    <n v="4"/>
    <n v="280000"/>
  </r>
  <r>
    <x v="35"/>
    <x v="20"/>
    <x v="17"/>
    <x v="9"/>
    <x v="14"/>
    <n v="11.5"/>
    <x v="2"/>
    <x v="0"/>
    <n v="50000"/>
    <n v="1"/>
    <n v="50000"/>
  </r>
  <r>
    <x v="36"/>
    <x v="20"/>
    <x v="1"/>
    <x v="6"/>
    <x v="7"/>
    <n v="10.9"/>
    <x v="5"/>
    <x v="1"/>
    <n v="80000"/>
    <n v="4"/>
    <n v="320000"/>
  </r>
  <r>
    <x v="37"/>
    <x v="21"/>
    <x v="15"/>
    <x v="1"/>
    <x v="5"/>
    <n v="37.9"/>
    <x v="0"/>
    <x v="0"/>
    <n v="60000"/>
    <n v="2"/>
    <n v="120000"/>
  </r>
  <r>
    <x v="38"/>
    <x v="22"/>
    <x v="12"/>
    <x v="9"/>
    <x v="11"/>
    <n v="15.7"/>
    <x v="3"/>
    <x v="0"/>
    <n v="28000"/>
    <n v="4"/>
    <n v="112000"/>
  </r>
  <r>
    <x v="39"/>
    <x v="5"/>
    <x v="1"/>
    <x v="8"/>
    <x v="6"/>
    <n v="14.3"/>
    <x v="5"/>
    <x v="0"/>
    <n v="80000"/>
    <n v="2"/>
    <n v="160000"/>
  </r>
  <r>
    <x v="40"/>
    <x v="18"/>
    <x v="1"/>
    <x v="2"/>
    <x v="15"/>
    <n v="31.5"/>
    <x v="0"/>
    <x v="0"/>
    <n v="80000"/>
    <n v="4"/>
    <n v="320000"/>
  </r>
  <r>
    <x v="41"/>
    <x v="3"/>
    <x v="12"/>
    <x v="7"/>
    <x v="14"/>
    <n v="15.7"/>
    <x v="5"/>
    <x v="0"/>
    <n v="28000"/>
    <n v="2"/>
    <n v="56000"/>
  </r>
  <r>
    <x v="42"/>
    <x v="12"/>
    <x v="8"/>
    <x v="9"/>
    <x v="13"/>
    <n v="28.8"/>
    <x v="2"/>
    <x v="1"/>
    <n v="32000"/>
    <n v="2"/>
    <n v="64000"/>
  </r>
  <r>
    <x v="43"/>
    <x v="23"/>
    <x v="5"/>
    <x v="2"/>
    <x v="11"/>
    <n v="37.799999999999997"/>
    <x v="4"/>
    <x v="0"/>
    <n v="47000"/>
    <n v="2"/>
    <n v="94000"/>
  </r>
  <r>
    <x v="44"/>
    <x v="14"/>
    <x v="6"/>
    <x v="6"/>
    <x v="11"/>
    <n v="22.9"/>
    <x v="5"/>
    <x v="0"/>
    <n v="140000"/>
    <n v="4"/>
    <n v="560000"/>
  </r>
  <r>
    <x v="45"/>
    <x v="24"/>
    <x v="10"/>
    <x v="8"/>
    <x v="1"/>
    <n v="38"/>
    <x v="5"/>
    <x v="0"/>
    <n v="160000"/>
    <n v="4"/>
    <n v="640000"/>
  </r>
  <r>
    <x v="46"/>
    <x v="7"/>
    <x v="10"/>
    <x v="0"/>
    <x v="12"/>
    <n v="17.899999999999999"/>
    <x v="0"/>
    <x v="1"/>
    <n v="160000"/>
    <n v="5"/>
    <n v="800000"/>
  </r>
  <r>
    <x v="47"/>
    <x v="10"/>
    <x v="9"/>
    <x v="9"/>
    <x v="2"/>
    <n v="31.1"/>
    <x v="0"/>
    <x v="0"/>
    <n v="180000"/>
    <n v="1"/>
    <n v="180000"/>
  </r>
  <r>
    <x v="48"/>
    <x v="9"/>
    <x v="6"/>
    <x v="0"/>
    <x v="15"/>
    <n v="26"/>
    <x v="4"/>
    <x v="0"/>
    <n v="140000"/>
    <n v="5"/>
    <n v="700000"/>
  </r>
  <r>
    <x v="49"/>
    <x v="1"/>
    <x v="6"/>
    <x v="0"/>
    <x v="17"/>
    <n v="28.1"/>
    <x v="0"/>
    <x v="0"/>
    <n v="140000"/>
    <n v="2"/>
    <n v="280000"/>
  </r>
  <r>
    <x v="50"/>
    <x v="25"/>
    <x v="5"/>
    <x v="1"/>
    <x v="13"/>
    <n v="7.1"/>
    <x v="6"/>
    <x v="1"/>
    <n v="47000"/>
    <n v="4"/>
    <n v="188000"/>
  </r>
  <r>
    <x v="51"/>
    <x v="23"/>
    <x v="18"/>
    <x v="4"/>
    <x v="8"/>
    <n v="37.5"/>
    <x v="3"/>
    <x v="0"/>
    <n v="27000"/>
    <n v="3"/>
    <n v="81000"/>
  </r>
  <r>
    <x v="52"/>
    <x v="13"/>
    <x v="20"/>
    <x v="1"/>
    <x v="16"/>
    <n v="34"/>
    <x v="0"/>
    <x v="0"/>
    <n v="26000"/>
    <n v="2"/>
    <n v="52000"/>
  </r>
  <r>
    <x v="53"/>
    <x v="6"/>
    <x v="4"/>
    <x v="4"/>
    <x v="5"/>
    <n v="23.9"/>
    <x v="3"/>
    <x v="1"/>
    <n v="24000"/>
    <n v="3"/>
    <n v="72000"/>
  </r>
  <r>
    <x v="54"/>
    <x v="20"/>
    <x v="18"/>
    <x v="4"/>
    <x v="6"/>
    <n v="12.4"/>
    <x v="9"/>
    <x v="1"/>
    <n v="27000"/>
    <n v="5"/>
    <n v="135000"/>
  </r>
  <r>
    <x v="55"/>
    <x v="1"/>
    <x v="16"/>
    <x v="1"/>
    <x v="3"/>
    <n v="26.4"/>
    <x v="9"/>
    <x v="0"/>
    <n v="30000"/>
    <n v="3"/>
    <n v="90000"/>
  </r>
  <r>
    <x v="56"/>
    <x v="14"/>
    <x v="17"/>
    <x v="9"/>
    <x v="3"/>
    <n v="21"/>
    <x v="3"/>
    <x v="1"/>
    <n v="50000"/>
    <n v="1"/>
    <n v="50000"/>
  </r>
  <r>
    <x v="57"/>
    <x v="26"/>
    <x v="13"/>
    <x v="7"/>
    <x v="12"/>
    <n v="11.8"/>
    <x v="6"/>
    <x v="0"/>
    <n v="25000"/>
    <n v="5"/>
    <n v="125000"/>
  </r>
  <r>
    <x v="58"/>
    <x v="20"/>
    <x v="17"/>
    <x v="4"/>
    <x v="10"/>
    <n v="13"/>
    <x v="1"/>
    <x v="1"/>
    <n v="50000"/>
    <n v="1"/>
    <n v="50000"/>
  </r>
  <r>
    <x v="59"/>
    <x v="4"/>
    <x v="20"/>
    <x v="2"/>
    <x v="10"/>
    <n v="40"/>
    <x v="8"/>
    <x v="1"/>
    <n v="26000"/>
    <n v="2"/>
    <n v="52000"/>
  </r>
  <r>
    <x v="60"/>
    <x v="8"/>
    <x v="1"/>
    <x v="5"/>
    <x v="8"/>
    <n v="23.5"/>
    <x v="6"/>
    <x v="0"/>
    <n v="80000"/>
    <n v="5"/>
    <n v="400000"/>
  </r>
  <r>
    <x v="61"/>
    <x v="15"/>
    <x v="5"/>
    <x v="0"/>
    <x v="9"/>
    <n v="5.3"/>
    <x v="2"/>
    <x v="0"/>
    <n v="47000"/>
    <n v="3"/>
    <n v="141000"/>
  </r>
  <r>
    <x v="62"/>
    <x v="27"/>
    <x v="20"/>
    <x v="4"/>
    <x v="15"/>
    <n v="21.8"/>
    <x v="5"/>
    <x v="1"/>
    <n v="26000"/>
    <n v="2"/>
    <n v="52000"/>
  </r>
  <r>
    <x v="63"/>
    <x v="28"/>
    <x v="16"/>
    <x v="1"/>
    <x v="2"/>
    <n v="9.1999999999999993"/>
    <x v="5"/>
    <x v="0"/>
    <n v="30000"/>
    <n v="2"/>
    <n v="60000"/>
  </r>
  <r>
    <x v="64"/>
    <x v="25"/>
    <x v="18"/>
    <x v="3"/>
    <x v="16"/>
    <n v="3.9"/>
    <x v="4"/>
    <x v="0"/>
    <n v="27000"/>
    <n v="4"/>
    <n v="108000"/>
  </r>
  <r>
    <x v="65"/>
    <x v="23"/>
    <x v="16"/>
    <x v="5"/>
    <x v="12"/>
    <n v="35"/>
    <x v="6"/>
    <x v="1"/>
    <n v="30000"/>
    <n v="3"/>
    <n v="90000"/>
  </r>
  <r>
    <x v="66"/>
    <x v="14"/>
    <x v="9"/>
    <x v="2"/>
    <x v="10"/>
    <n v="23.8"/>
    <x v="4"/>
    <x v="1"/>
    <n v="180000"/>
    <n v="1"/>
    <n v="180000"/>
  </r>
  <r>
    <x v="67"/>
    <x v="3"/>
    <x v="0"/>
    <x v="3"/>
    <x v="5"/>
    <n v="11.4"/>
    <x v="3"/>
    <x v="0"/>
    <n v="70000"/>
    <n v="2"/>
    <n v="140000"/>
  </r>
  <r>
    <x v="68"/>
    <x v="17"/>
    <x v="14"/>
    <x v="4"/>
    <x v="8"/>
    <n v="12.5"/>
    <x v="1"/>
    <x v="0"/>
    <n v="120000"/>
    <n v="2"/>
    <n v="240000"/>
  </r>
  <r>
    <x v="69"/>
    <x v="20"/>
    <x v="7"/>
    <x v="8"/>
    <x v="3"/>
    <n v="8.5"/>
    <x v="7"/>
    <x v="1"/>
    <n v="29000"/>
    <n v="4"/>
    <n v="116000"/>
  </r>
  <r>
    <x v="70"/>
    <x v="27"/>
    <x v="19"/>
    <x v="2"/>
    <x v="7"/>
    <n v="22.2"/>
    <x v="6"/>
    <x v="1"/>
    <n v="23000"/>
    <n v="1"/>
    <n v="23000"/>
  </r>
  <r>
    <x v="71"/>
    <x v="14"/>
    <x v="3"/>
    <x v="3"/>
    <x v="9"/>
    <n v="25.4"/>
    <x v="0"/>
    <x v="0"/>
    <n v="45000"/>
    <n v="4"/>
    <n v="180000"/>
  </r>
  <r>
    <x v="72"/>
    <x v="29"/>
    <x v="20"/>
    <x v="9"/>
    <x v="4"/>
    <n v="29.4"/>
    <x v="6"/>
    <x v="1"/>
    <n v="26000"/>
    <n v="2"/>
    <n v="52000"/>
  </r>
  <r>
    <x v="73"/>
    <x v="27"/>
    <x v="9"/>
    <x v="4"/>
    <x v="1"/>
    <n v="22.6"/>
    <x v="8"/>
    <x v="1"/>
    <n v="180000"/>
    <n v="2"/>
    <n v="360000"/>
  </r>
  <r>
    <x v="74"/>
    <x v="12"/>
    <x v="7"/>
    <x v="0"/>
    <x v="14"/>
    <n v="28.7"/>
    <x v="3"/>
    <x v="0"/>
    <n v="29000"/>
    <n v="3"/>
    <n v="87000"/>
  </r>
  <r>
    <x v="75"/>
    <x v="30"/>
    <x v="7"/>
    <x v="3"/>
    <x v="10"/>
    <n v="31.4"/>
    <x v="0"/>
    <x v="1"/>
    <n v="29000"/>
    <n v="3"/>
    <n v="87000"/>
  </r>
  <r>
    <x v="76"/>
    <x v="8"/>
    <x v="3"/>
    <x v="5"/>
    <x v="0"/>
    <n v="28"/>
    <x v="7"/>
    <x v="1"/>
    <n v="45000"/>
    <n v="3"/>
    <n v="135000"/>
  </r>
  <r>
    <x v="77"/>
    <x v="18"/>
    <x v="4"/>
    <x v="8"/>
    <x v="0"/>
    <n v="36"/>
    <x v="6"/>
    <x v="0"/>
    <n v="24000"/>
    <n v="5"/>
    <n v="120000"/>
  </r>
  <r>
    <x v="78"/>
    <x v="20"/>
    <x v="4"/>
    <x v="6"/>
    <x v="4"/>
    <n v="10.4"/>
    <x v="8"/>
    <x v="1"/>
    <n v="24000"/>
    <n v="2"/>
    <n v="48000"/>
  </r>
  <r>
    <x v="79"/>
    <x v="3"/>
    <x v="20"/>
    <x v="4"/>
    <x v="3"/>
    <n v="14.1"/>
    <x v="4"/>
    <x v="1"/>
    <n v="26000"/>
    <n v="4"/>
    <n v="104000"/>
  </r>
  <r>
    <x v="80"/>
    <x v="1"/>
    <x v="4"/>
    <x v="8"/>
    <x v="15"/>
    <n v="28.4"/>
    <x v="1"/>
    <x v="1"/>
    <n v="24000"/>
    <n v="1"/>
    <n v="24000"/>
  </r>
  <r>
    <x v="81"/>
    <x v="0"/>
    <x v="19"/>
    <x v="6"/>
    <x v="17"/>
    <n v="38.200000000000003"/>
    <x v="8"/>
    <x v="0"/>
    <n v="23000"/>
    <n v="3"/>
    <n v="69000"/>
  </r>
  <r>
    <x v="82"/>
    <x v="25"/>
    <x v="20"/>
    <x v="7"/>
    <x v="1"/>
    <n v="5.8"/>
    <x v="2"/>
    <x v="0"/>
    <n v="26000"/>
    <n v="2"/>
    <n v="52000"/>
  </r>
  <r>
    <x v="83"/>
    <x v="18"/>
    <x v="10"/>
    <x v="0"/>
    <x v="5"/>
    <n v="31.6"/>
    <x v="5"/>
    <x v="0"/>
    <n v="160000"/>
    <n v="4"/>
    <n v="640000"/>
  </r>
  <r>
    <x v="84"/>
    <x v="4"/>
    <x v="15"/>
    <x v="1"/>
    <x v="16"/>
    <n v="38.4"/>
    <x v="8"/>
    <x v="1"/>
    <n v="60000"/>
    <n v="2"/>
    <n v="120000"/>
  </r>
  <r>
    <x v="85"/>
    <x v="6"/>
    <x v="10"/>
    <x v="4"/>
    <x v="3"/>
    <n v="26.7"/>
    <x v="4"/>
    <x v="0"/>
    <n v="160000"/>
    <n v="1"/>
    <n v="160000"/>
  </r>
  <r>
    <x v="86"/>
    <x v="19"/>
    <x v="4"/>
    <x v="1"/>
    <x v="14"/>
    <n v="22.1"/>
    <x v="1"/>
    <x v="0"/>
    <n v="24000"/>
    <n v="2"/>
    <n v="48000"/>
  </r>
  <r>
    <x v="87"/>
    <x v="11"/>
    <x v="10"/>
    <x v="9"/>
    <x v="14"/>
    <n v="11.7"/>
    <x v="8"/>
    <x v="0"/>
    <n v="160000"/>
    <n v="5"/>
    <n v="800000"/>
  </r>
  <r>
    <x v="88"/>
    <x v="18"/>
    <x v="1"/>
    <x v="1"/>
    <x v="13"/>
    <n v="31.6"/>
    <x v="4"/>
    <x v="0"/>
    <n v="80000"/>
    <n v="3"/>
    <n v="240000"/>
  </r>
  <r>
    <x v="89"/>
    <x v="22"/>
    <x v="5"/>
    <x v="2"/>
    <x v="14"/>
    <n v="17"/>
    <x v="3"/>
    <x v="1"/>
    <n v="47000"/>
    <n v="4"/>
    <n v="188000"/>
  </r>
  <r>
    <x v="90"/>
    <x v="7"/>
    <x v="21"/>
    <x v="1"/>
    <x v="5"/>
    <n v="17.100000000000001"/>
    <x v="1"/>
    <x v="0"/>
    <n v="55000"/>
    <n v="4"/>
    <n v="220000"/>
  </r>
  <r>
    <x v="91"/>
    <x v="14"/>
    <x v="22"/>
    <x v="2"/>
    <x v="12"/>
    <n v="25.3"/>
    <x v="1"/>
    <x v="1"/>
    <n v="55000"/>
    <n v="1"/>
    <n v="55000"/>
  </r>
  <r>
    <x v="92"/>
    <x v="31"/>
    <x v="19"/>
    <x v="8"/>
    <x v="2"/>
    <n v="21.1"/>
    <x v="0"/>
    <x v="1"/>
    <n v="23000"/>
    <n v="4"/>
    <n v="92000"/>
  </r>
  <r>
    <x v="93"/>
    <x v="1"/>
    <x v="5"/>
    <x v="1"/>
    <x v="4"/>
    <n v="28.8"/>
    <x v="8"/>
    <x v="1"/>
    <n v="47000"/>
    <n v="5"/>
    <n v="235000"/>
  </r>
  <r>
    <x v="94"/>
    <x v="25"/>
    <x v="0"/>
    <x v="5"/>
    <x v="7"/>
    <n v="3.1"/>
    <x v="4"/>
    <x v="1"/>
    <n v="70000"/>
    <n v="5"/>
    <n v="350000"/>
  </r>
  <r>
    <x v="95"/>
    <x v="31"/>
    <x v="12"/>
    <x v="5"/>
    <x v="12"/>
    <n v="19.600000000000001"/>
    <x v="1"/>
    <x v="1"/>
    <n v="28000"/>
    <n v="5"/>
    <n v="140000"/>
  </r>
  <r>
    <x v="96"/>
    <x v="4"/>
    <x v="0"/>
    <x v="2"/>
    <x v="7"/>
    <n v="41.3"/>
    <x v="6"/>
    <x v="0"/>
    <n v="70000"/>
    <n v="1"/>
    <n v="70000"/>
  </r>
  <r>
    <x v="97"/>
    <x v="11"/>
    <x v="12"/>
    <x v="7"/>
    <x v="14"/>
    <n v="7.7"/>
    <x v="0"/>
    <x v="0"/>
    <n v="28000"/>
    <n v="4"/>
    <n v="112000"/>
  </r>
  <r>
    <x v="98"/>
    <x v="6"/>
    <x v="12"/>
    <x v="4"/>
    <x v="1"/>
    <n v="24.9"/>
    <x v="8"/>
    <x v="0"/>
    <n v="28000"/>
    <n v="3"/>
    <n v="84000"/>
  </r>
  <r>
    <x v="99"/>
    <x v="9"/>
    <x v="17"/>
    <x v="2"/>
    <x v="3"/>
    <n v="27.5"/>
    <x v="2"/>
    <x v="1"/>
    <n v="50000"/>
    <n v="3"/>
    <n v="150000"/>
  </r>
  <r>
    <x v="100"/>
    <x v="11"/>
    <x v="13"/>
    <x v="1"/>
    <x v="12"/>
    <n v="6.9"/>
    <x v="0"/>
    <x v="0"/>
    <n v="25000"/>
    <n v="4"/>
    <n v="100000"/>
  </r>
  <r>
    <x v="101"/>
    <x v="4"/>
    <x v="15"/>
    <x v="3"/>
    <x v="1"/>
    <n v="38.1"/>
    <x v="8"/>
    <x v="0"/>
    <n v="60000"/>
    <n v="5"/>
    <n v="300000"/>
  </r>
  <r>
    <x v="102"/>
    <x v="11"/>
    <x v="16"/>
    <x v="0"/>
    <x v="11"/>
    <n v="12"/>
    <x v="7"/>
    <x v="0"/>
    <n v="30000"/>
    <n v="4"/>
    <n v="120000"/>
  </r>
  <r>
    <x v="103"/>
    <x v="12"/>
    <x v="15"/>
    <x v="2"/>
    <x v="6"/>
    <n v="31.2"/>
    <x v="5"/>
    <x v="1"/>
    <n v="60000"/>
    <n v="4"/>
    <n v="240000"/>
  </r>
  <r>
    <x v="104"/>
    <x v="29"/>
    <x v="18"/>
    <x v="5"/>
    <x v="12"/>
    <n v="31.2"/>
    <x v="1"/>
    <x v="0"/>
    <n v="27000"/>
    <n v="2"/>
    <n v="54000"/>
  </r>
  <r>
    <x v="105"/>
    <x v="6"/>
    <x v="9"/>
    <x v="1"/>
    <x v="3"/>
    <n v="27.2"/>
    <x v="2"/>
    <x v="0"/>
    <n v="180000"/>
    <n v="5"/>
    <n v="900000"/>
  </r>
  <r>
    <x v="106"/>
    <x v="8"/>
    <x v="11"/>
    <x v="6"/>
    <x v="1"/>
    <n v="28.1"/>
    <x v="7"/>
    <x v="0"/>
    <n v="52000"/>
    <n v="5"/>
    <n v="260000"/>
  </r>
  <r>
    <x v="107"/>
    <x v="17"/>
    <x v="11"/>
    <x v="8"/>
    <x v="4"/>
    <n v="10.9"/>
    <x v="5"/>
    <x v="1"/>
    <n v="52000"/>
    <n v="1"/>
    <n v="52000"/>
  </r>
  <r>
    <x v="108"/>
    <x v="2"/>
    <x v="21"/>
    <x v="8"/>
    <x v="14"/>
    <n v="29.9"/>
    <x v="8"/>
    <x v="0"/>
    <n v="55000"/>
    <n v="4"/>
    <n v="220000"/>
  </r>
  <r>
    <x v="109"/>
    <x v="3"/>
    <x v="7"/>
    <x v="7"/>
    <x v="0"/>
    <n v="15"/>
    <x v="7"/>
    <x v="1"/>
    <n v="29000"/>
    <n v="1"/>
    <n v="29000"/>
  </r>
  <r>
    <x v="110"/>
    <x v="19"/>
    <x v="5"/>
    <x v="2"/>
    <x v="13"/>
    <n v="19.899999999999999"/>
    <x v="9"/>
    <x v="0"/>
    <n v="47000"/>
    <n v="1"/>
    <n v="47000"/>
  </r>
  <r>
    <x v="111"/>
    <x v="3"/>
    <x v="6"/>
    <x v="7"/>
    <x v="10"/>
    <n v="13.5"/>
    <x v="5"/>
    <x v="1"/>
    <n v="140000"/>
    <n v="2"/>
    <n v="280000"/>
  </r>
  <r>
    <x v="112"/>
    <x v="23"/>
    <x v="20"/>
    <x v="5"/>
    <x v="7"/>
    <n v="33.799999999999997"/>
    <x v="0"/>
    <x v="0"/>
    <n v="26000"/>
    <n v="3"/>
    <n v="78000"/>
  </r>
  <r>
    <x v="113"/>
    <x v="7"/>
    <x v="14"/>
    <x v="7"/>
    <x v="14"/>
    <n v="18.8"/>
    <x v="8"/>
    <x v="0"/>
    <n v="120000"/>
    <n v="1"/>
    <n v="120000"/>
  </r>
  <r>
    <x v="114"/>
    <x v="15"/>
    <x v="6"/>
    <x v="0"/>
    <x v="0"/>
    <n v="4.0999999999999996"/>
    <x v="9"/>
    <x v="1"/>
    <n v="140000"/>
    <n v="4"/>
    <n v="560000"/>
  </r>
  <r>
    <x v="115"/>
    <x v="30"/>
    <x v="20"/>
    <x v="2"/>
    <x v="4"/>
    <n v="29.1"/>
    <x v="6"/>
    <x v="1"/>
    <n v="26000"/>
    <n v="2"/>
    <n v="52000"/>
  </r>
  <r>
    <x v="116"/>
    <x v="30"/>
    <x v="10"/>
    <x v="0"/>
    <x v="12"/>
    <n v="28.2"/>
    <x v="5"/>
    <x v="1"/>
    <n v="160000"/>
    <n v="3"/>
    <n v="480000"/>
  </r>
  <r>
    <x v="117"/>
    <x v="25"/>
    <x v="0"/>
    <x v="8"/>
    <x v="0"/>
    <n v="4.4000000000000004"/>
    <x v="2"/>
    <x v="1"/>
    <n v="70000"/>
    <n v="3"/>
    <n v="210000"/>
  </r>
  <r>
    <x v="118"/>
    <x v="26"/>
    <x v="17"/>
    <x v="2"/>
    <x v="6"/>
    <n v="13.6"/>
    <x v="3"/>
    <x v="1"/>
    <n v="50000"/>
    <n v="2"/>
    <n v="100000"/>
  </r>
  <r>
    <x v="119"/>
    <x v="14"/>
    <x v="9"/>
    <x v="1"/>
    <x v="13"/>
    <n v="24.9"/>
    <x v="6"/>
    <x v="0"/>
    <n v="180000"/>
    <n v="4"/>
    <n v="720000"/>
  </r>
  <r>
    <x v="120"/>
    <x v="23"/>
    <x v="7"/>
    <x v="7"/>
    <x v="16"/>
    <n v="34.5"/>
    <x v="0"/>
    <x v="1"/>
    <n v="29000"/>
    <n v="1"/>
    <n v="29000"/>
  </r>
  <r>
    <x v="121"/>
    <x v="19"/>
    <x v="11"/>
    <x v="7"/>
    <x v="1"/>
    <n v="20.5"/>
    <x v="7"/>
    <x v="0"/>
    <n v="52000"/>
    <n v="2"/>
    <n v="104000"/>
  </r>
  <r>
    <x v="122"/>
    <x v="25"/>
    <x v="16"/>
    <x v="8"/>
    <x v="8"/>
    <n v="4.7"/>
    <x v="8"/>
    <x v="0"/>
    <n v="30000"/>
    <n v="2"/>
    <n v="60000"/>
  </r>
  <r>
    <x v="123"/>
    <x v="5"/>
    <x v="7"/>
    <x v="5"/>
    <x v="2"/>
    <n v="18.899999999999999"/>
    <x v="8"/>
    <x v="0"/>
    <n v="29000"/>
    <n v="4"/>
    <n v="116000"/>
  </r>
  <r>
    <x v="124"/>
    <x v="1"/>
    <x v="19"/>
    <x v="5"/>
    <x v="12"/>
    <n v="28.5"/>
    <x v="2"/>
    <x v="1"/>
    <n v="23000"/>
    <n v="4"/>
    <n v="92000"/>
  </r>
  <r>
    <x v="125"/>
    <x v="28"/>
    <x v="3"/>
    <x v="6"/>
    <x v="17"/>
    <n v="6.8"/>
    <x v="8"/>
    <x v="0"/>
    <n v="45000"/>
    <n v="3"/>
    <n v="135000"/>
  </r>
  <r>
    <x v="126"/>
    <x v="13"/>
    <x v="7"/>
    <x v="0"/>
    <x v="1"/>
    <n v="36.1"/>
    <x v="8"/>
    <x v="0"/>
    <n v="29000"/>
    <n v="5"/>
    <n v="145000"/>
  </r>
  <r>
    <x v="127"/>
    <x v="8"/>
    <x v="12"/>
    <x v="3"/>
    <x v="5"/>
    <n v="28.4"/>
    <x v="4"/>
    <x v="1"/>
    <n v="28000"/>
    <n v="5"/>
    <n v="140000"/>
  </r>
  <r>
    <x v="128"/>
    <x v="5"/>
    <x v="2"/>
    <x v="4"/>
    <x v="2"/>
    <n v="15.4"/>
    <x v="6"/>
    <x v="1"/>
    <n v="50000"/>
    <n v="3"/>
    <n v="150000"/>
  </r>
  <r>
    <x v="129"/>
    <x v="10"/>
    <x v="5"/>
    <x v="1"/>
    <x v="12"/>
    <n v="30.8"/>
    <x v="7"/>
    <x v="1"/>
    <n v="47000"/>
    <n v="3"/>
    <n v="141000"/>
  </r>
  <r>
    <x v="130"/>
    <x v="19"/>
    <x v="2"/>
    <x v="5"/>
    <x v="13"/>
    <n v="20.5"/>
    <x v="9"/>
    <x v="1"/>
    <n v="50000"/>
    <n v="5"/>
    <n v="250000"/>
  </r>
  <r>
    <x v="131"/>
    <x v="0"/>
    <x v="13"/>
    <x v="1"/>
    <x v="6"/>
    <n v="36.299999999999997"/>
    <x v="2"/>
    <x v="1"/>
    <n v="25000"/>
    <n v="3"/>
    <n v="75000"/>
  </r>
  <r>
    <x v="132"/>
    <x v="8"/>
    <x v="16"/>
    <x v="5"/>
    <x v="8"/>
    <n v="27.7"/>
    <x v="9"/>
    <x v="1"/>
    <n v="30000"/>
    <n v="4"/>
    <n v="120000"/>
  </r>
  <r>
    <x v="133"/>
    <x v="8"/>
    <x v="19"/>
    <x v="0"/>
    <x v="7"/>
    <n v="26.4"/>
    <x v="4"/>
    <x v="1"/>
    <n v="23000"/>
    <n v="5"/>
    <n v="115000"/>
  </r>
  <r>
    <x v="134"/>
    <x v="15"/>
    <x v="12"/>
    <x v="3"/>
    <x v="17"/>
    <n v="7.3"/>
    <x v="9"/>
    <x v="0"/>
    <n v="28000"/>
    <n v="4"/>
    <n v="112000"/>
  </r>
  <r>
    <x v="135"/>
    <x v="19"/>
    <x v="9"/>
    <x v="5"/>
    <x v="7"/>
    <n v="24.6"/>
    <x v="6"/>
    <x v="0"/>
    <n v="180000"/>
    <n v="2"/>
    <n v="360000"/>
  </r>
  <r>
    <x v="136"/>
    <x v="15"/>
    <x v="0"/>
    <x v="4"/>
    <x v="3"/>
    <n v="4.4000000000000004"/>
    <x v="6"/>
    <x v="1"/>
    <n v="70000"/>
    <n v="5"/>
    <n v="350000"/>
  </r>
  <r>
    <x v="98"/>
    <x v="13"/>
    <x v="1"/>
    <x v="9"/>
    <x v="8"/>
    <n v="38.1"/>
    <x v="4"/>
    <x v="0"/>
    <n v="80000"/>
    <n v="1"/>
    <n v="80000"/>
  </r>
  <r>
    <x v="137"/>
    <x v="22"/>
    <x v="7"/>
    <x v="7"/>
    <x v="11"/>
    <n v="15.5"/>
    <x v="5"/>
    <x v="0"/>
    <n v="29000"/>
    <n v="4"/>
    <n v="116000"/>
  </r>
  <r>
    <x v="138"/>
    <x v="4"/>
    <x v="11"/>
    <x v="5"/>
    <x v="14"/>
    <n v="36.299999999999997"/>
    <x v="5"/>
    <x v="1"/>
    <n v="52000"/>
    <n v="1"/>
    <n v="52000"/>
  </r>
  <r>
    <x v="139"/>
    <x v="16"/>
    <x v="6"/>
    <x v="0"/>
    <x v="12"/>
    <n v="13.4"/>
    <x v="3"/>
    <x v="0"/>
    <n v="140000"/>
    <n v="5"/>
    <n v="700000"/>
  </r>
  <r>
    <x v="140"/>
    <x v="27"/>
    <x v="2"/>
    <x v="4"/>
    <x v="2"/>
    <n v="18.5"/>
    <x v="5"/>
    <x v="1"/>
    <n v="50000"/>
    <n v="1"/>
    <n v="50000"/>
  </r>
  <r>
    <x v="141"/>
    <x v="28"/>
    <x v="13"/>
    <x v="9"/>
    <x v="8"/>
    <n v="7.1"/>
    <x v="4"/>
    <x v="1"/>
    <n v="25000"/>
    <n v="3"/>
    <n v="75000"/>
  </r>
  <r>
    <x v="142"/>
    <x v="18"/>
    <x v="21"/>
    <x v="5"/>
    <x v="0"/>
    <n v="33.5"/>
    <x v="1"/>
    <x v="0"/>
    <n v="55000"/>
    <n v="2"/>
    <n v="110000"/>
  </r>
  <r>
    <x v="143"/>
    <x v="8"/>
    <x v="21"/>
    <x v="4"/>
    <x v="1"/>
    <n v="24.5"/>
    <x v="2"/>
    <x v="1"/>
    <n v="55000"/>
    <n v="3"/>
    <n v="165000"/>
  </r>
  <r>
    <x v="144"/>
    <x v="8"/>
    <x v="0"/>
    <x v="4"/>
    <x v="2"/>
    <n v="28.1"/>
    <x v="7"/>
    <x v="0"/>
    <n v="70000"/>
    <n v="3"/>
    <n v="210000"/>
  </r>
  <r>
    <x v="145"/>
    <x v="15"/>
    <x v="3"/>
    <x v="9"/>
    <x v="17"/>
    <n v="4.0999999999999996"/>
    <x v="3"/>
    <x v="1"/>
    <n v="45000"/>
    <n v="2"/>
    <n v="90000"/>
  </r>
  <r>
    <x v="146"/>
    <x v="32"/>
    <x v="10"/>
    <x v="7"/>
    <x v="0"/>
    <n v="12.4"/>
    <x v="2"/>
    <x v="0"/>
    <n v="160000"/>
    <n v="2"/>
    <n v="320000"/>
  </r>
  <r>
    <x v="147"/>
    <x v="1"/>
    <x v="12"/>
    <x v="2"/>
    <x v="8"/>
    <n v="25.6"/>
    <x v="2"/>
    <x v="1"/>
    <n v="28000"/>
    <n v="1"/>
    <n v="28000"/>
  </r>
  <r>
    <x v="148"/>
    <x v="17"/>
    <x v="12"/>
    <x v="1"/>
    <x v="5"/>
    <n v="12.6"/>
    <x v="9"/>
    <x v="1"/>
    <n v="28000"/>
    <n v="5"/>
    <n v="140000"/>
  </r>
  <r>
    <x v="149"/>
    <x v="1"/>
    <x v="10"/>
    <x v="0"/>
    <x v="1"/>
    <n v="25.9"/>
    <x v="9"/>
    <x v="0"/>
    <n v="160000"/>
    <n v="5"/>
    <n v="800000"/>
  </r>
  <r>
    <x v="150"/>
    <x v="20"/>
    <x v="16"/>
    <x v="8"/>
    <x v="2"/>
    <n v="12.2"/>
    <x v="9"/>
    <x v="0"/>
    <n v="30000"/>
    <n v="2"/>
    <n v="60000"/>
  </r>
  <r>
    <x v="151"/>
    <x v="6"/>
    <x v="17"/>
    <x v="7"/>
    <x v="3"/>
    <n v="24.5"/>
    <x v="2"/>
    <x v="1"/>
    <n v="50000"/>
    <n v="4"/>
    <n v="200000"/>
  </r>
  <r>
    <x v="152"/>
    <x v="18"/>
    <x v="5"/>
    <x v="6"/>
    <x v="7"/>
    <n v="35.6"/>
    <x v="5"/>
    <x v="1"/>
    <n v="47000"/>
    <n v="5"/>
    <n v="235000"/>
  </r>
  <r>
    <x v="153"/>
    <x v="33"/>
    <x v="12"/>
    <x v="8"/>
    <x v="1"/>
    <n v="9.8000000000000007"/>
    <x v="2"/>
    <x v="0"/>
    <n v="28000"/>
    <n v="4"/>
    <n v="112000"/>
  </r>
  <r>
    <x v="154"/>
    <x v="5"/>
    <x v="0"/>
    <x v="1"/>
    <x v="9"/>
    <n v="14.9"/>
    <x v="4"/>
    <x v="0"/>
    <n v="70000"/>
    <n v="1"/>
    <n v="70000"/>
  </r>
  <r>
    <x v="155"/>
    <x v="27"/>
    <x v="8"/>
    <x v="4"/>
    <x v="2"/>
    <n v="18.5"/>
    <x v="2"/>
    <x v="1"/>
    <n v="32000"/>
    <n v="2"/>
    <n v="64000"/>
  </r>
  <r>
    <x v="156"/>
    <x v="20"/>
    <x v="0"/>
    <x v="9"/>
    <x v="2"/>
    <n v="13.4"/>
    <x v="4"/>
    <x v="1"/>
    <n v="70000"/>
    <n v="3"/>
    <n v="210000"/>
  </r>
  <r>
    <x v="157"/>
    <x v="9"/>
    <x v="7"/>
    <x v="3"/>
    <x v="4"/>
    <n v="25.7"/>
    <x v="2"/>
    <x v="1"/>
    <n v="29000"/>
    <n v="5"/>
    <n v="145000"/>
  </r>
  <r>
    <x v="158"/>
    <x v="17"/>
    <x v="10"/>
    <x v="8"/>
    <x v="6"/>
    <n v="14.9"/>
    <x v="6"/>
    <x v="1"/>
    <n v="160000"/>
    <n v="3"/>
    <n v="480000"/>
  </r>
  <r>
    <x v="159"/>
    <x v="12"/>
    <x v="22"/>
    <x v="8"/>
    <x v="7"/>
    <n v="26.6"/>
    <x v="9"/>
    <x v="1"/>
    <n v="55000"/>
    <n v="2"/>
    <n v="110000"/>
  </r>
  <r>
    <x v="160"/>
    <x v="14"/>
    <x v="19"/>
    <x v="3"/>
    <x v="2"/>
    <n v="25.6"/>
    <x v="4"/>
    <x v="0"/>
    <n v="23000"/>
    <n v="4"/>
    <n v="92000"/>
  </r>
  <r>
    <x v="161"/>
    <x v="19"/>
    <x v="21"/>
    <x v="1"/>
    <x v="14"/>
    <n v="20.7"/>
    <x v="8"/>
    <x v="1"/>
    <n v="55000"/>
    <n v="1"/>
    <n v="55000"/>
  </r>
  <r>
    <x v="162"/>
    <x v="30"/>
    <x v="12"/>
    <x v="9"/>
    <x v="11"/>
    <n v="28.5"/>
    <x v="1"/>
    <x v="1"/>
    <n v="28000"/>
    <n v="2"/>
    <n v="56000"/>
  </r>
  <r>
    <x v="163"/>
    <x v="6"/>
    <x v="17"/>
    <x v="8"/>
    <x v="10"/>
    <n v="24.4"/>
    <x v="2"/>
    <x v="1"/>
    <n v="50000"/>
    <n v="5"/>
    <n v="250000"/>
  </r>
  <r>
    <x v="164"/>
    <x v="9"/>
    <x v="22"/>
    <x v="5"/>
    <x v="7"/>
    <n v="26.6"/>
    <x v="5"/>
    <x v="0"/>
    <n v="55000"/>
    <n v="4"/>
    <n v="220000"/>
  </r>
  <r>
    <x v="165"/>
    <x v="4"/>
    <x v="18"/>
    <x v="4"/>
    <x v="6"/>
    <n v="39.1"/>
    <x v="1"/>
    <x v="1"/>
    <n v="27000"/>
    <n v="4"/>
    <n v="108000"/>
  </r>
  <r>
    <x v="166"/>
    <x v="30"/>
    <x v="17"/>
    <x v="1"/>
    <x v="9"/>
    <n v="32.4"/>
    <x v="8"/>
    <x v="1"/>
    <n v="50000"/>
    <n v="2"/>
    <n v="100000"/>
  </r>
  <r>
    <x v="167"/>
    <x v="7"/>
    <x v="6"/>
    <x v="6"/>
    <x v="6"/>
    <n v="18.100000000000001"/>
    <x v="9"/>
    <x v="0"/>
    <n v="140000"/>
    <n v="5"/>
    <n v="700000"/>
  </r>
  <r>
    <x v="168"/>
    <x v="20"/>
    <x v="7"/>
    <x v="5"/>
    <x v="0"/>
    <n v="12.6"/>
    <x v="6"/>
    <x v="0"/>
    <n v="29000"/>
    <n v="3"/>
    <n v="87000"/>
  </r>
  <r>
    <x v="168"/>
    <x v="27"/>
    <x v="1"/>
    <x v="0"/>
    <x v="0"/>
    <n v="23.4"/>
    <x v="4"/>
    <x v="0"/>
    <n v="80000"/>
    <n v="2"/>
    <n v="160000"/>
  </r>
  <r>
    <x v="169"/>
    <x v="13"/>
    <x v="21"/>
    <x v="7"/>
    <x v="7"/>
    <n v="34.299999999999997"/>
    <x v="0"/>
    <x v="1"/>
    <n v="55000"/>
    <n v="3"/>
    <n v="165000"/>
  </r>
  <r>
    <x v="170"/>
    <x v="5"/>
    <x v="4"/>
    <x v="5"/>
    <x v="3"/>
    <n v="17.3"/>
    <x v="4"/>
    <x v="0"/>
    <n v="24000"/>
    <n v="3"/>
    <n v="72000"/>
  </r>
  <r>
    <x v="171"/>
    <x v="7"/>
    <x v="10"/>
    <x v="9"/>
    <x v="9"/>
    <n v="18.5"/>
    <x v="3"/>
    <x v="1"/>
    <n v="160000"/>
    <n v="2"/>
    <n v="320000"/>
  </r>
  <r>
    <x v="172"/>
    <x v="15"/>
    <x v="21"/>
    <x v="5"/>
    <x v="15"/>
    <n v="4.2"/>
    <x v="7"/>
    <x v="1"/>
    <n v="55000"/>
    <n v="1"/>
    <n v="55000"/>
  </r>
  <r>
    <x v="173"/>
    <x v="20"/>
    <x v="8"/>
    <x v="0"/>
    <x v="16"/>
    <n v="11.9"/>
    <x v="9"/>
    <x v="0"/>
    <n v="32000"/>
    <n v="2"/>
    <n v="64000"/>
  </r>
  <r>
    <x v="174"/>
    <x v="17"/>
    <x v="2"/>
    <x v="8"/>
    <x v="7"/>
    <n v="13.4"/>
    <x v="8"/>
    <x v="0"/>
    <n v="50000"/>
    <n v="2"/>
    <n v="100000"/>
  </r>
  <r>
    <x v="175"/>
    <x v="21"/>
    <x v="17"/>
    <x v="5"/>
    <x v="1"/>
    <n v="40.5"/>
    <x v="6"/>
    <x v="1"/>
    <n v="50000"/>
    <n v="1"/>
    <n v="50000"/>
  </r>
  <r>
    <x v="176"/>
    <x v="22"/>
    <x v="6"/>
    <x v="9"/>
    <x v="7"/>
    <n v="20"/>
    <x v="3"/>
    <x v="0"/>
    <n v="140000"/>
    <n v="4"/>
    <n v="560000"/>
  </r>
  <r>
    <x v="177"/>
    <x v="4"/>
    <x v="9"/>
    <x v="1"/>
    <x v="1"/>
    <n v="39"/>
    <x v="3"/>
    <x v="0"/>
    <n v="180000"/>
    <n v="5"/>
    <n v="900000"/>
  </r>
  <r>
    <x v="178"/>
    <x v="16"/>
    <x v="3"/>
    <x v="1"/>
    <x v="15"/>
    <n v="18"/>
    <x v="0"/>
    <x v="0"/>
    <n v="45000"/>
    <n v="4"/>
    <n v="180000"/>
  </r>
  <r>
    <x v="179"/>
    <x v="3"/>
    <x v="12"/>
    <x v="4"/>
    <x v="4"/>
    <n v="13.9"/>
    <x v="9"/>
    <x v="0"/>
    <n v="28000"/>
    <n v="4"/>
    <n v="112000"/>
  </r>
  <r>
    <x v="180"/>
    <x v="30"/>
    <x v="22"/>
    <x v="7"/>
    <x v="0"/>
    <n v="31.2"/>
    <x v="1"/>
    <x v="0"/>
    <n v="55000"/>
    <n v="5"/>
    <n v="275000"/>
  </r>
  <r>
    <x v="160"/>
    <x v="15"/>
    <x v="15"/>
    <x v="8"/>
    <x v="10"/>
    <n v="7"/>
    <x v="8"/>
    <x v="1"/>
    <n v="60000"/>
    <n v="2"/>
    <n v="120000"/>
  </r>
  <r>
    <x v="181"/>
    <x v="29"/>
    <x v="12"/>
    <x v="1"/>
    <x v="13"/>
    <n v="29.4"/>
    <x v="3"/>
    <x v="1"/>
    <n v="28000"/>
    <n v="4"/>
    <n v="112000"/>
  </r>
  <r>
    <x v="182"/>
    <x v="26"/>
    <x v="12"/>
    <x v="9"/>
    <x v="12"/>
    <n v="13.5"/>
    <x v="8"/>
    <x v="1"/>
    <n v="28000"/>
    <n v="4"/>
    <n v="112000"/>
  </r>
  <r>
    <x v="183"/>
    <x v="0"/>
    <x v="19"/>
    <x v="2"/>
    <x v="5"/>
    <n v="37.799999999999997"/>
    <x v="2"/>
    <x v="1"/>
    <n v="23000"/>
    <n v="1"/>
    <n v="23000"/>
  </r>
  <r>
    <x v="184"/>
    <x v="2"/>
    <x v="14"/>
    <x v="4"/>
    <x v="5"/>
    <n v="30.7"/>
    <x v="4"/>
    <x v="1"/>
    <n v="120000"/>
    <n v="2"/>
    <n v="240000"/>
  </r>
  <r>
    <x v="185"/>
    <x v="33"/>
    <x v="1"/>
    <x v="7"/>
    <x v="0"/>
    <n v="8.6999999999999993"/>
    <x v="0"/>
    <x v="1"/>
    <n v="80000"/>
    <n v="4"/>
    <n v="320000"/>
  </r>
  <r>
    <x v="186"/>
    <x v="8"/>
    <x v="13"/>
    <x v="9"/>
    <x v="9"/>
    <n v="25"/>
    <x v="5"/>
    <x v="0"/>
    <n v="25000"/>
    <n v="4"/>
    <n v="100000"/>
  </r>
  <r>
    <x v="187"/>
    <x v="18"/>
    <x v="3"/>
    <x v="7"/>
    <x v="2"/>
    <n v="33.6"/>
    <x v="6"/>
    <x v="1"/>
    <n v="45000"/>
    <n v="2"/>
    <n v="90000"/>
  </r>
  <r>
    <x v="63"/>
    <x v="27"/>
    <x v="6"/>
    <x v="0"/>
    <x v="11"/>
    <n v="19.600000000000001"/>
    <x v="7"/>
    <x v="1"/>
    <n v="140000"/>
    <n v="3"/>
    <n v="420000"/>
  </r>
  <r>
    <x v="188"/>
    <x v="5"/>
    <x v="21"/>
    <x v="5"/>
    <x v="17"/>
    <n v="15.5"/>
    <x v="6"/>
    <x v="1"/>
    <n v="55000"/>
    <n v="4"/>
    <n v="220000"/>
  </r>
  <r>
    <x v="189"/>
    <x v="29"/>
    <x v="7"/>
    <x v="1"/>
    <x v="15"/>
    <n v="29.8"/>
    <x v="1"/>
    <x v="0"/>
    <n v="29000"/>
    <n v="5"/>
    <n v="145000"/>
  </r>
  <r>
    <x v="190"/>
    <x v="7"/>
    <x v="16"/>
    <x v="4"/>
    <x v="5"/>
    <n v="15.9"/>
    <x v="9"/>
    <x v="1"/>
    <n v="30000"/>
    <n v="1"/>
    <n v="30000"/>
  </r>
  <r>
    <x v="191"/>
    <x v="15"/>
    <x v="16"/>
    <x v="2"/>
    <x v="17"/>
    <n v="7"/>
    <x v="9"/>
    <x v="1"/>
    <n v="30000"/>
    <n v="1"/>
    <n v="30000"/>
  </r>
  <r>
    <x v="192"/>
    <x v="8"/>
    <x v="2"/>
    <x v="6"/>
    <x v="10"/>
    <n v="28.1"/>
    <x v="8"/>
    <x v="1"/>
    <n v="50000"/>
    <n v="4"/>
    <n v="200000"/>
  </r>
  <r>
    <x v="193"/>
    <x v="18"/>
    <x v="1"/>
    <x v="3"/>
    <x v="10"/>
    <n v="33.5"/>
    <x v="6"/>
    <x v="1"/>
    <n v="80000"/>
    <n v="4"/>
    <n v="320000"/>
  </r>
  <r>
    <x v="194"/>
    <x v="27"/>
    <x v="5"/>
    <x v="8"/>
    <x v="12"/>
    <n v="22.6"/>
    <x v="9"/>
    <x v="1"/>
    <n v="47000"/>
    <n v="2"/>
    <n v="94000"/>
  </r>
  <r>
    <x v="195"/>
    <x v="8"/>
    <x v="20"/>
    <x v="5"/>
    <x v="16"/>
    <n v="23.1"/>
    <x v="7"/>
    <x v="1"/>
    <n v="26000"/>
    <n v="5"/>
    <n v="130000"/>
  </r>
  <r>
    <x v="196"/>
    <x v="33"/>
    <x v="20"/>
    <x v="8"/>
    <x v="2"/>
    <n v="6.5"/>
    <x v="2"/>
    <x v="0"/>
    <n v="26000"/>
    <n v="2"/>
    <n v="52000"/>
  </r>
  <r>
    <x v="197"/>
    <x v="34"/>
    <x v="14"/>
    <x v="1"/>
    <x v="5"/>
    <n v="23.3"/>
    <x v="6"/>
    <x v="1"/>
    <n v="120000"/>
    <n v="2"/>
    <n v="240000"/>
  </r>
  <r>
    <x v="198"/>
    <x v="31"/>
    <x v="6"/>
    <x v="3"/>
    <x v="10"/>
    <n v="18.100000000000001"/>
    <x v="6"/>
    <x v="0"/>
    <n v="140000"/>
    <n v="1"/>
    <n v="140000"/>
  </r>
  <r>
    <x v="199"/>
    <x v="32"/>
    <x v="15"/>
    <x v="2"/>
    <x v="14"/>
    <n v="11.4"/>
    <x v="9"/>
    <x v="0"/>
    <n v="60000"/>
    <n v="5"/>
    <n v="300000"/>
  </r>
  <r>
    <x v="0"/>
    <x v="30"/>
    <x v="1"/>
    <x v="6"/>
    <x v="9"/>
    <n v="28.1"/>
    <x v="7"/>
    <x v="0"/>
    <n v="80000"/>
    <n v="4"/>
    <n v="320000"/>
  </r>
  <r>
    <x v="200"/>
    <x v="27"/>
    <x v="6"/>
    <x v="0"/>
    <x v="7"/>
    <n v="24"/>
    <x v="9"/>
    <x v="1"/>
    <n v="140000"/>
    <n v="3"/>
    <n v="420000"/>
  </r>
  <r>
    <x v="201"/>
    <x v="6"/>
    <x v="12"/>
    <x v="3"/>
    <x v="11"/>
    <n v="27.4"/>
    <x v="3"/>
    <x v="1"/>
    <n v="28000"/>
    <n v="1"/>
    <n v="28000"/>
  </r>
  <r>
    <x v="202"/>
    <x v="31"/>
    <x v="6"/>
    <x v="9"/>
    <x v="2"/>
    <n v="19.100000000000001"/>
    <x v="3"/>
    <x v="1"/>
    <n v="140000"/>
    <n v="4"/>
    <n v="560000"/>
  </r>
  <r>
    <x v="203"/>
    <x v="1"/>
    <x v="14"/>
    <x v="5"/>
    <x v="2"/>
    <n v="29.6"/>
    <x v="1"/>
    <x v="1"/>
    <n v="120000"/>
    <n v="5"/>
    <n v="600000"/>
  </r>
  <r>
    <x v="204"/>
    <x v="25"/>
    <x v="21"/>
    <x v="0"/>
    <x v="15"/>
    <n v="5.3"/>
    <x v="2"/>
    <x v="1"/>
    <n v="55000"/>
    <n v="5"/>
    <n v="275000"/>
  </r>
  <r>
    <x v="205"/>
    <x v="9"/>
    <x v="7"/>
    <x v="5"/>
    <x v="12"/>
    <n v="29.1"/>
    <x v="4"/>
    <x v="0"/>
    <n v="29000"/>
    <n v="5"/>
    <n v="145000"/>
  </r>
  <r>
    <x v="124"/>
    <x v="29"/>
    <x v="2"/>
    <x v="2"/>
    <x v="1"/>
    <n v="30.1"/>
    <x v="4"/>
    <x v="1"/>
    <n v="50000"/>
    <n v="5"/>
    <n v="250000"/>
  </r>
  <r>
    <x v="206"/>
    <x v="15"/>
    <x v="16"/>
    <x v="8"/>
    <x v="16"/>
    <n v="8.6999999999999993"/>
    <x v="7"/>
    <x v="1"/>
    <n v="30000"/>
    <n v="4"/>
    <n v="120000"/>
  </r>
  <r>
    <x v="207"/>
    <x v="15"/>
    <x v="4"/>
    <x v="7"/>
    <x v="11"/>
    <n v="8.1999999999999993"/>
    <x v="5"/>
    <x v="0"/>
    <n v="24000"/>
    <n v="4"/>
    <n v="96000"/>
  </r>
  <r>
    <x v="208"/>
    <x v="6"/>
    <x v="2"/>
    <x v="5"/>
    <x v="8"/>
    <n v="25.6"/>
    <x v="6"/>
    <x v="1"/>
    <n v="50000"/>
    <n v="1"/>
    <n v="50000"/>
  </r>
  <r>
    <x v="71"/>
    <x v="0"/>
    <x v="6"/>
    <x v="5"/>
    <x v="12"/>
    <n v="37.4"/>
    <x v="9"/>
    <x v="1"/>
    <n v="140000"/>
    <n v="3"/>
    <n v="420000"/>
  </r>
  <r>
    <x v="209"/>
    <x v="1"/>
    <x v="21"/>
    <x v="6"/>
    <x v="12"/>
    <n v="28.4"/>
    <x v="5"/>
    <x v="0"/>
    <n v="55000"/>
    <n v="1"/>
    <n v="55000"/>
  </r>
  <r>
    <x v="210"/>
    <x v="34"/>
    <x v="16"/>
    <x v="7"/>
    <x v="9"/>
    <n v="22.1"/>
    <x v="0"/>
    <x v="0"/>
    <n v="30000"/>
    <n v="2"/>
    <n v="60000"/>
  </r>
  <r>
    <x v="211"/>
    <x v="7"/>
    <x v="14"/>
    <x v="7"/>
    <x v="8"/>
    <n v="20.3"/>
    <x v="4"/>
    <x v="0"/>
    <n v="120000"/>
    <n v="4"/>
    <n v="480000"/>
  </r>
  <r>
    <x v="212"/>
    <x v="14"/>
    <x v="20"/>
    <x v="8"/>
    <x v="13"/>
    <n v="22.2"/>
    <x v="5"/>
    <x v="1"/>
    <n v="26000"/>
    <n v="5"/>
    <n v="130000"/>
  </r>
  <r>
    <x v="213"/>
    <x v="27"/>
    <x v="3"/>
    <x v="1"/>
    <x v="17"/>
    <n v="18.600000000000001"/>
    <x v="7"/>
    <x v="0"/>
    <n v="45000"/>
    <n v="2"/>
    <n v="90000"/>
  </r>
  <r>
    <x v="214"/>
    <x v="23"/>
    <x v="7"/>
    <x v="7"/>
    <x v="7"/>
    <n v="32.700000000000003"/>
    <x v="8"/>
    <x v="0"/>
    <n v="29000"/>
    <n v="3"/>
    <n v="87000"/>
  </r>
  <r>
    <x v="215"/>
    <x v="1"/>
    <x v="22"/>
    <x v="1"/>
    <x v="8"/>
    <n v="24.6"/>
    <x v="9"/>
    <x v="1"/>
    <n v="55000"/>
    <n v="5"/>
    <n v="275000"/>
  </r>
  <r>
    <x v="216"/>
    <x v="17"/>
    <x v="19"/>
    <x v="3"/>
    <x v="1"/>
    <n v="14"/>
    <x v="5"/>
    <x v="1"/>
    <n v="23000"/>
    <n v="1"/>
    <n v="23000"/>
  </r>
  <r>
    <x v="217"/>
    <x v="10"/>
    <x v="21"/>
    <x v="7"/>
    <x v="0"/>
    <n v="32.4"/>
    <x v="4"/>
    <x v="0"/>
    <n v="55000"/>
    <n v="3"/>
    <n v="165000"/>
  </r>
  <r>
    <x v="218"/>
    <x v="12"/>
    <x v="9"/>
    <x v="0"/>
    <x v="7"/>
    <n v="29.5"/>
    <x v="1"/>
    <x v="1"/>
    <n v="180000"/>
    <n v="4"/>
    <n v="720000"/>
  </r>
  <r>
    <x v="219"/>
    <x v="25"/>
    <x v="12"/>
    <x v="0"/>
    <x v="9"/>
    <n v="6.8"/>
    <x v="9"/>
    <x v="0"/>
    <n v="28000"/>
    <n v="5"/>
    <n v="140000"/>
  </r>
  <r>
    <x v="220"/>
    <x v="15"/>
    <x v="2"/>
    <x v="9"/>
    <x v="15"/>
    <n v="3.4"/>
    <x v="9"/>
    <x v="1"/>
    <n v="50000"/>
    <n v="2"/>
    <n v="100000"/>
  </r>
  <r>
    <x v="221"/>
    <x v="7"/>
    <x v="20"/>
    <x v="2"/>
    <x v="4"/>
    <n v="16.399999999999999"/>
    <x v="6"/>
    <x v="1"/>
    <n v="26000"/>
    <n v="5"/>
    <n v="130000"/>
  </r>
  <r>
    <x v="222"/>
    <x v="32"/>
    <x v="12"/>
    <x v="7"/>
    <x v="15"/>
    <n v="10.199999999999999"/>
    <x v="2"/>
    <x v="1"/>
    <n v="28000"/>
    <n v="2"/>
    <n v="56000"/>
  </r>
  <r>
    <x v="223"/>
    <x v="20"/>
    <x v="22"/>
    <x v="6"/>
    <x v="5"/>
    <n v="12.1"/>
    <x v="9"/>
    <x v="1"/>
    <n v="55000"/>
    <n v="5"/>
    <n v="275000"/>
  </r>
  <r>
    <x v="224"/>
    <x v="22"/>
    <x v="5"/>
    <x v="5"/>
    <x v="16"/>
    <n v="18.399999999999999"/>
    <x v="8"/>
    <x v="1"/>
    <n v="47000"/>
    <n v="5"/>
    <n v="235000"/>
  </r>
  <r>
    <x v="225"/>
    <x v="28"/>
    <x v="8"/>
    <x v="5"/>
    <x v="9"/>
    <n v="7.2"/>
    <x v="9"/>
    <x v="0"/>
    <n v="32000"/>
    <n v="1"/>
    <n v="32000"/>
  </r>
  <r>
    <x v="226"/>
    <x v="18"/>
    <x v="13"/>
    <x v="7"/>
    <x v="8"/>
    <n v="33.799999999999997"/>
    <x v="4"/>
    <x v="1"/>
    <n v="25000"/>
    <n v="5"/>
    <n v="125000"/>
  </r>
  <r>
    <x v="227"/>
    <x v="18"/>
    <x v="1"/>
    <x v="9"/>
    <x v="11"/>
    <n v="32.5"/>
    <x v="2"/>
    <x v="1"/>
    <n v="80000"/>
    <n v="4"/>
    <n v="320000"/>
  </r>
  <r>
    <x v="228"/>
    <x v="1"/>
    <x v="4"/>
    <x v="1"/>
    <x v="16"/>
    <n v="24.7"/>
    <x v="8"/>
    <x v="1"/>
    <n v="24000"/>
    <n v="4"/>
    <n v="96000"/>
  </r>
  <r>
    <x v="100"/>
    <x v="32"/>
    <x v="21"/>
    <x v="1"/>
    <x v="3"/>
    <n v="12"/>
    <x v="3"/>
    <x v="1"/>
    <n v="55000"/>
    <n v="4"/>
    <n v="220000"/>
  </r>
  <r>
    <x v="229"/>
    <x v="30"/>
    <x v="16"/>
    <x v="5"/>
    <x v="16"/>
    <n v="31.5"/>
    <x v="2"/>
    <x v="1"/>
    <n v="30000"/>
    <n v="4"/>
    <n v="120000"/>
  </r>
  <r>
    <x v="230"/>
    <x v="6"/>
    <x v="21"/>
    <x v="8"/>
    <x v="7"/>
    <n v="22.6"/>
    <x v="5"/>
    <x v="1"/>
    <n v="55000"/>
    <n v="1"/>
    <n v="55000"/>
  </r>
  <r>
    <x v="205"/>
    <x v="30"/>
    <x v="10"/>
    <x v="1"/>
    <x v="14"/>
    <n v="30.6"/>
    <x v="7"/>
    <x v="1"/>
    <n v="160000"/>
    <n v="4"/>
    <n v="640000"/>
  </r>
  <r>
    <x v="231"/>
    <x v="7"/>
    <x v="22"/>
    <x v="6"/>
    <x v="16"/>
    <n v="18.100000000000001"/>
    <x v="3"/>
    <x v="0"/>
    <n v="55000"/>
    <n v="4"/>
    <n v="220000"/>
  </r>
  <r>
    <x v="232"/>
    <x v="5"/>
    <x v="20"/>
    <x v="7"/>
    <x v="17"/>
    <n v="18.7"/>
    <x v="1"/>
    <x v="1"/>
    <n v="26000"/>
    <n v="3"/>
    <n v="78000"/>
  </r>
  <r>
    <x v="233"/>
    <x v="16"/>
    <x v="19"/>
    <x v="8"/>
    <x v="1"/>
    <n v="16.100000000000001"/>
    <x v="3"/>
    <x v="1"/>
    <n v="23000"/>
    <n v="5"/>
    <n v="115000"/>
  </r>
  <r>
    <x v="234"/>
    <x v="0"/>
    <x v="17"/>
    <x v="5"/>
    <x v="7"/>
    <n v="33.4"/>
    <x v="9"/>
    <x v="0"/>
    <n v="50000"/>
    <n v="4"/>
    <n v="200000"/>
  </r>
  <r>
    <x v="235"/>
    <x v="27"/>
    <x v="20"/>
    <x v="3"/>
    <x v="10"/>
    <n v="24.4"/>
    <x v="4"/>
    <x v="0"/>
    <n v="26000"/>
    <n v="3"/>
    <n v="78000"/>
  </r>
  <r>
    <x v="236"/>
    <x v="17"/>
    <x v="10"/>
    <x v="3"/>
    <x v="11"/>
    <n v="12.3"/>
    <x v="0"/>
    <x v="0"/>
    <n v="160000"/>
    <n v="3"/>
    <n v="480000"/>
  </r>
  <r>
    <x v="237"/>
    <x v="13"/>
    <x v="8"/>
    <x v="0"/>
    <x v="11"/>
    <n v="34.1"/>
    <x v="8"/>
    <x v="0"/>
    <n v="32000"/>
    <n v="3"/>
    <n v="96000"/>
  </r>
  <r>
    <x v="238"/>
    <x v="24"/>
    <x v="17"/>
    <x v="4"/>
    <x v="8"/>
    <n v="39.4"/>
    <x v="4"/>
    <x v="0"/>
    <n v="50000"/>
    <n v="4"/>
    <n v="200000"/>
  </r>
  <r>
    <x v="239"/>
    <x v="33"/>
    <x v="1"/>
    <x v="4"/>
    <x v="13"/>
    <n v="5.5"/>
    <x v="3"/>
    <x v="1"/>
    <n v="80000"/>
    <n v="4"/>
    <n v="32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64DFF3-28E9-4AB7-81CE-B9A8A5DB5CB1}" name="PivotTable4"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9:C10" firstHeaderRow="1" firstDataRow="1" firstDataCol="0"/>
  <pivotFields count="1">
    <pivotField dataField="1" subtotalTop="0" showAll="0" defaultSubtotal="0"/>
  </pivotFields>
  <rowItems count="1">
    <i/>
  </rowItems>
  <colItems count="1">
    <i/>
  </colItems>
  <dataFields count="1">
    <dataField name="Sum of Distinict count of Brand" fld="0" baseField="0" baseItem="0"/>
  </dataFields>
  <pivotHierarchies count="4">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KPIs!$C$9:$C$10">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069415-C28E-47A8-9071-DA4F557F28BA}" name="PivotTable1"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E3" firstHeaderRow="0" firstDataRow="1" firstDataCol="0"/>
  <pivotFields count="13">
    <pivotField numFmtId="14" showAll="0">
      <items count="15">
        <item x="0"/>
        <item x="1"/>
        <item x="2"/>
        <item x="3"/>
        <item x="4"/>
        <item x="5"/>
        <item x="6"/>
        <item x="7"/>
        <item x="8"/>
        <item x="9"/>
        <item x="10"/>
        <item x="11"/>
        <item x="12"/>
        <item x="13"/>
        <item t="default"/>
      </items>
    </pivotField>
    <pivotField showAll="0"/>
    <pivotField dataField="1" showAll="0"/>
    <pivotField showAll="0"/>
    <pivotField showAll="0"/>
    <pivotField showAll="0"/>
    <pivotField showAll="0"/>
    <pivotField showAll="0"/>
    <pivotField dataField="1" showAll="0"/>
    <pivotField dataField="1" showAll="0"/>
    <pivotField dataField="1" showAll="0"/>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Items count="1">
    <i/>
  </rowItems>
  <colFields count="1">
    <field x="-2"/>
  </colFields>
  <colItems count="4">
    <i>
      <x/>
    </i>
    <i i="1">
      <x v="1"/>
    </i>
    <i i="2">
      <x v="2"/>
    </i>
    <i i="3">
      <x v="3"/>
    </i>
  </colItems>
  <dataFields count="4">
    <dataField name="Sum of Total Sales" fld="10" baseField="0" baseItem="0" numFmtId="165"/>
    <dataField name="Sum of Quantity" fld="9" baseField="0" baseItem="0"/>
    <dataField name="Count of Brand" fld="2" subtotal="count" baseField="0" baseItem="1"/>
    <dataField name="Average of Unit Price" fld="8" subtotal="average" baseField="0" baseItem="1" numFmtId="165"/>
  </dataFields>
  <formats count="3">
    <format dxfId="75">
      <pivotArea outline="0" collapsedLevelsAreSubtotals="1" fieldPosition="0">
        <references count="1">
          <reference field="4294967294" count="1" selected="0">
            <x v="0"/>
          </reference>
        </references>
      </pivotArea>
    </format>
    <format dxfId="74">
      <pivotArea dataOnly="0" labelOnly="1" outline="0" fieldPosition="0">
        <references count="1">
          <reference field="4294967294" count="1">
            <x v="0"/>
          </reference>
        </references>
      </pivotArea>
    </format>
    <format dxfId="73">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46B650-FE08-4549-A85F-CB1D0F76DCCE}" name="PivotTable5" cacheId="3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B2:C25" firstHeaderRow="1" firstDataRow="1" firstDataCol="1"/>
  <pivotFields count="13">
    <pivotField numFmtId="14" showAll="0">
      <items count="15">
        <item x="0"/>
        <item x="1"/>
        <item x="2"/>
        <item x="3"/>
        <item x="4"/>
        <item x="5"/>
        <item x="6"/>
        <item x="7"/>
        <item x="8"/>
        <item x="9"/>
        <item x="10"/>
        <item x="11"/>
        <item x="12"/>
        <item x="13"/>
        <item t="default"/>
      </items>
    </pivotField>
    <pivotField showAll="0"/>
    <pivotField axis="axisRow" showAll="0" sortType="descending">
      <items count="24">
        <item x="0"/>
        <item x="14"/>
        <item x="17"/>
        <item x="8"/>
        <item x="13"/>
        <item x="18"/>
        <item x="10"/>
        <item x="15"/>
        <item x="16"/>
        <item x="20"/>
        <item x="4"/>
        <item x="3"/>
        <item x="19"/>
        <item x="6"/>
        <item x="5"/>
        <item x="2"/>
        <item x="22"/>
        <item x="21"/>
        <item x="12"/>
        <item x="11"/>
        <item x="9"/>
        <item x="1"/>
        <item x="7"/>
        <item t="default"/>
      </items>
      <autoSortScope>
        <pivotArea dataOnly="0" outline="0" fieldPosition="0">
          <references count="1">
            <reference field="4294967294" count="1" selected="0">
              <x v="0"/>
            </reference>
          </references>
        </pivotArea>
      </autoSortScope>
    </pivotField>
    <pivotField showAll="0">
      <items count="11">
        <item x="6"/>
        <item x="3"/>
        <item x="2"/>
        <item x="8"/>
        <item x="5"/>
        <item x="9"/>
        <item x="1"/>
        <item x="7"/>
        <item x="0"/>
        <item x="4"/>
        <item t="default"/>
      </items>
    </pivotField>
    <pivotField showAll="0"/>
    <pivotField showAll="0"/>
    <pivotField showAll="0"/>
    <pivotField showAll="0"/>
    <pivotField showAll="0"/>
    <pivotField showAll="0"/>
    <pivotField dataField="1" showAll="0"/>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2"/>
  </rowFields>
  <rowItems count="23">
    <i>
      <x v="6"/>
    </i>
    <i>
      <x v="13"/>
    </i>
    <i>
      <x v="20"/>
    </i>
    <i>
      <x v="21"/>
    </i>
    <i>
      <x v="1"/>
    </i>
    <i>
      <x/>
    </i>
    <i>
      <x v="17"/>
    </i>
    <i>
      <x v="14"/>
    </i>
    <i>
      <x v="18"/>
    </i>
    <i>
      <x v="15"/>
    </i>
    <i>
      <x v="2"/>
    </i>
    <i>
      <x v="16"/>
    </i>
    <i>
      <x v="22"/>
    </i>
    <i>
      <x v="7"/>
    </i>
    <i>
      <x v="9"/>
    </i>
    <i>
      <x v="8"/>
    </i>
    <i>
      <x v="11"/>
    </i>
    <i>
      <x v="12"/>
    </i>
    <i>
      <x v="10"/>
    </i>
    <i>
      <x v="5"/>
    </i>
    <i>
      <x v="4"/>
    </i>
    <i>
      <x v="19"/>
    </i>
    <i>
      <x v="3"/>
    </i>
  </rowItems>
  <colItems count="1">
    <i/>
  </colItems>
  <dataFields count="1">
    <dataField name="Sum of Total Sales" fld="10" baseField="0" baseItem="0" numFmtId="165"/>
  </dataFields>
  <formats count="2">
    <format dxfId="72">
      <pivotArea outline="0" collapsedLevelsAreSubtotals="1" fieldPosition="0"/>
    </format>
    <format dxfId="71">
      <pivotArea dataOnly="0" labelOnly="1" outline="0" axis="axisValues" fieldPosition="0"/>
    </format>
  </format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1616F0-3370-4D2D-84F4-C165B2218500}" name="PivotTable6" cacheId="3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B2:C12" firstHeaderRow="1" firstDataRow="1" firstDataCol="1"/>
  <pivotFields count="13">
    <pivotField numFmtId="14" showAll="0">
      <items count="15">
        <item x="0"/>
        <item x="1"/>
        <item x="2"/>
        <item x="3"/>
        <item x="4"/>
        <item x="5"/>
        <item x="6"/>
        <item x="7"/>
        <item x="8"/>
        <item x="9"/>
        <item x="10"/>
        <item x="11"/>
        <item x="12"/>
        <item x="13"/>
        <item t="default"/>
      </items>
    </pivotField>
    <pivotField showAll="0"/>
    <pivotField axis="axisRow" showAll="0" measureFilter="1" sortType="descending">
      <items count="24">
        <item x="0"/>
        <item x="14"/>
        <item x="17"/>
        <item x="8"/>
        <item x="13"/>
        <item x="18"/>
        <item x="10"/>
        <item x="15"/>
        <item x="16"/>
        <item x="20"/>
        <item x="4"/>
        <item x="3"/>
        <item x="19"/>
        <item x="6"/>
        <item x="5"/>
        <item x="2"/>
        <item x="22"/>
        <item x="21"/>
        <item x="12"/>
        <item x="11"/>
        <item x="9"/>
        <item x="1"/>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2"/>
  </rowFields>
  <rowItems count="10">
    <i>
      <x v="20"/>
    </i>
    <i>
      <x v="6"/>
    </i>
    <i>
      <x v="13"/>
    </i>
    <i>
      <x v="1"/>
    </i>
    <i>
      <x v="21"/>
    </i>
    <i>
      <x/>
    </i>
    <i>
      <x v="16"/>
    </i>
    <i>
      <x v="7"/>
    </i>
    <i>
      <x v="15"/>
    </i>
    <i>
      <x v="17"/>
    </i>
  </rowItems>
  <colItems count="1">
    <i/>
  </colItems>
  <dataFields count="1">
    <dataField name="Average of Total Sales" fld="10" subtotal="average" baseField="2" baseItem="0" numFmtId="165"/>
  </dataFields>
  <formats count="2">
    <format dxfId="70">
      <pivotArea outline="0" collapsedLevelsAreSubtotals="1" fieldPosition="0"/>
    </format>
    <format dxfId="69">
      <pivotArea dataOnly="0" labelOnly="1" outline="0" axis="axisValues" fieldPosition="0"/>
    </format>
  </format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088DFC-FA69-4F31-B945-EF6FFE4EFA2F}" name="PivotTable7" cacheId="3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B2:C25" firstHeaderRow="1" firstDataRow="1" firstDataCol="1"/>
  <pivotFields count="13">
    <pivotField numFmtId="14" showAll="0">
      <items count="15">
        <item x="0"/>
        <item x="1"/>
        <item x="2"/>
        <item x="3"/>
        <item x="4"/>
        <item x="5"/>
        <item x="6"/>
        <item x="7"/>
        <item x="8"/>
        <item x="9"/>
        <item x="10"/>
        <item x="11"/>
        <item x="12"/>
        <item x="13"/>
        <item t="default"/>
      </items>
    </pivotField>
    <pivotField showAll="0"/>
    <pivotField axis="axisRow" showAll="0" sortType="descending">
      <items count="24">
        <item x="0"/>
        <item x="14"/>
        <item x="17"/>
        <item x="8"/>
        <item x="13"/>
        <item x="18"/>
        <item x="10"/>
        <item x="15"/>
        <item x="16"/>
        <item x="20"/>
        <item x="4"/>
        <item x="3"/>
        <item x="19"/>
        <item x="6"/>
        <item x="5"/>
        <item x="2"/>
        <item x="22"/>
        <item x="21"/>
        <item x="12"/>
        <item x="11"/>
        <item x="9"/>
        <item x="1"/>
        <item x="7"/>
        <item t="default"/>
      </items>
      <autoSortScope>
        <pivotArea dataOnly="0" outline="0" fieldPosition="0">
          <references count="1">
            <reference field="4294967294" count="1" selected="0">
              <x v="0"/>
            </reference>
          </references>
        </pivotArea>
      </autoSortScope>
    </pivotField>
    <pivotField showAll="0">
      <items count="11">
        <item x="6"/>
        <item x="3"/>
        <item x="2"/>
        <item x="8"/>
        <item x="5"/>
        <item x="9"/>
        <item x="1"/>
        <item x="7"/>
        <item x="0"/>
        <item x="4"/>
        <item t="default"/>
      </items>
    </pivotField>
    <pivotField showAll="0"/>
    <pivotField showAll="0"/>
    <pivotField showAll="0"/>
    <pivotField showAll="0"/>
    <pivotField showAll="0"/>
    <pivotField dataField="1" showAll="0"/>
    <pivotField showAll="0"/>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2"/>
  </rowFields>
  <rowItems count="23">
    <i>
      <x v="18"/>
    </i>
    <i>
      <x v="21"/>
    </i>
    <i>
      <x v="22"/>
    </i>
    <i>
      <x v="13"/>
    </i>
    <i>
      <x v="6"/>
    </i>
    <i>
      <x v="9"/>
    </i>
    <i>
      <x v="14"/>
    </i>
    <i>
      <x v="17"/>
    </i>
    <i>
      <x v="15"/>
    </i>
    <i>
      <x v="8"/>
    </i>
    <i>
      <x v="12"/>
    </i>
    <i>
      <x/>
    </i>
    <i>
      <x v="10"/>
    </i>
    <i>
      <x v="2"/>
    </i>
    <i>
      <x v="20"/>
    </i>
    <i>
      <x v="4"/>
    </i>
    <i>
      <x v="5"/>
    </i>
    <i>
      <x v="16"/>
    </i>
    <i>
      <x v="7"/>
    </i>
    <i>
      <x v="1"/>
    </i>
    <i>
      <x v="11"/>
    </i>
    <i>
      <x v="3"/>
    </i>
    <i>
      <x v="19"/>
    </i>
  </rowItems>
  <colItems count="1">
    <i/>
  </colItems>
  <dataFields count="1">
    <dataField name="Sum of Quantity" fld="9" baseField="0" baseItem="0"/>
  </dataField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15"/>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EC2B9E-5FEB-4032-8B10-9DD2097C8730}" name="PivotTable8" cacheId="3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4">
  <location ref="B3:C13" firstHeaderRow="1" firstDataRow="1" firstDataCol="1"/>
  <pivotFields count="13">
    <pivotField numFmtId="14" showAll="0">
      <items count="15">
        <item x="0"/>
        <item x="1"/>
        <item x="2"/>
        <item x="3"/>
        <item x="4"/>
        <item x="5"/>
        <item x="6"/>
        <item x="7"/>
        <item x="8"/>
        <item x="9"/>
        <item x="10"/>
        <item x="11"/>
        <item x="12"/>
        <item x="13"/>
        <item t="default"/>
      </items>
    </pivotField>
    <pivotField showAll="0"/>
    <pivotField showAll="0">
      <items count="24">
        <item x="0"/>
        <item x="14"/>
        <item x="17"/>
        <item x="8"/>
        <item x="13"/>
        <item x="18"/>
        <item x="10"/>
        <item x="15"/>
        <item x="16"/>
        <item x="20"/>
        <item x="4"/>
        <item x="3"/>
        <item x="19"/>
        <item x="6"/>
        <item x="5"/>
        <item x="2"/>
        <item x="22"/>
        <item x="21"/>
        <item x="12"/>
        <item x="11"/>
        <item x="9"/>
        <item x="1"/>
        <item x="7"/>
        <item t="default"/>
      </items>
    </pivotField>
    <pivotField axis="axisRow" showAll="0" sortType="descending">
      <items count="11">
        <item x="6"/>
        <item x="3"/>
        <item x="2"/>
        <item x="8"/>
        <item x="5"/>
        <item x="9"/>
        <item x="1"/>
        <item x="7"/>
        <item x="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3"/>
  </rowFields>
  <rowItems count="10">
    <i>
      <x v="8"/>
    </i>
    <i>
      <x v="6"/>
    </i>
    <i>
      <x v="4"/>
    </i>
    <i>
      <x/>
    </i>
    <i>
      <x v="5"/>
    </i>
    <i>
      <x v="3"/>
    </i>
    <i>
      <x v="7"/>
    </i>
    <i>
      <x v="9"/>
    </i>
    <i>
      <x v="2"/>
    </i>
    <i>
      <x v="1"/>
    </i>
  </rowItems>
  <colItems count="1">
    <i/>
  </colItems>
  <dataFields count="1">
    <dataField name="Sum of Total Sales" fld="10" baseField="0" baseItem="0" numFmtId="165"/>
  </dataFields>
  <formats count="2">
    <format dxfId="68">
      <pivotArea outline="0" collapsedLevelsAreSubtotals="1" fieldPosition="0"/>
    </format>
    <format dxfId="67">
      <pivotArea dataOnly="0" labelOnly="1" outline="0" axis="axisValues" fieldPosition="0"/>
    </format>
  </formats>
  <chartFormats count="2">
    <chartFormat chart="49" format="0"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9FC32FE-6A9F-4BA5-96A9-AD116C2A04CB}" name="PivotTable9" cacheId="3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B2:C4" firstHeaderRow="1" firstDataRow="1" firstDataCol="1"/>
  <pivotFields count="13">
    <pivotField numFmtId="14" showAll="0">
      <items count="15">
        <item x="0"/>
        <item x="1"/>
        <item x="2"/>
        <item x="3"/>
        <item x="4"/>
        <item x="5"/>
        <item x="6"/>
        <item x="7"/>
        <item x="8"/>
        <item x="9"/>
        <item x="10"/>
        <item x="11"/>
        <item x="12"/>
        <item x="13"/>
        <item t="default"/>
      </items>
    </pivotField>
    <pivotField showAll="0"/>
    <pivotField showAll="0">
      <items count="24">
        <item x="0"/>
        <item x="14"/>
        <item x="17"/>
        <item x="8"/>
        <item x="13"/>
        <item x="18"/>
        <item x="10"/>
        <item x="15"/>
        <item x="16"/>
        <item x="20"/>
        <item x="4"/>
        <item x="3"/>
        <item x="19"/>
        <item x="6"/>
        <item x="5"/>
        <item x="2"/>
        <item x="22"/>
        <item x="21"/>
        <item x="12"/>
        <item x="11"/>
        <item x="9"/>
        <item x="1"/>
        <item x="7"/>
        <item t="default"/>
      </items>
    </pivotField>
    <pivotField showAll="0">
      <items count="11">
        <item x="6"/>
        <item x="3"/>
        <item x="2"/>
        <item x="8"/>
        <item x="5"/>
        <item x="9"/>
        <item x="1"/>
        <item x="7"/>
        <item x="0"/>
        <item x="4"/>
        <item t="default"/>
      </items>
    </pivotField>
    <pivotField showAll="0"/>
    <pivotField showAll="0"/>
    <pivotField showAll="0"/>
    <pivotField axis="axisRow" showAll="0">
      <items count="3">
        <item x="1"/>
        <item x="0"/>
        <item t="default"/>
      </items>
    </pivotField>
    <pivotField showAll="0"/>
    <pivotField dataField="1" showAll="0"/>
    <pivotField showAll="0"/>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7"/>
  </rowFields>
  <rowItems count="2">
    <i>
      <x/>
    </i>
    <i>
      <x v="1"/>
    </i>
  </rowItems>
  <colItems count="1">
    <i/>
  </colItems>
  <dataFields count="1">
    <dataField name="Sum of Quantity" fld="9" baseField="0" baseItem="0"/>
  </dataFields>
  <chartFormats count="6">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7" count="1" selected="0">
            <x v="1"/>
          </reference>
        </references>
      </pivotArea>
    </chartFormat>
    <chartFormat chart="10" format="2">
      <pivotArea type="data" outline="0" fieldPosition="0">
        <references count="2">
          <reference field="4294967294" count="1" selected="0">
            <x v="0"/>
          </reference>
          <reference field="7" count="1" selected="0">
            <x v="0"/>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7" count="1" selected="0">
            <x v="0"/>
          </reference>
        </references>
      </pivotArea>
    </chartFormat>
    <chartFormat chart="12" format="8">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FD1668-B2B8-434E-8DC0-6893F7EB1F8F}" name="PivotTable10" cacheId="3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B3:C38" firstHeaderRow="1" firstDataRow="1" firstDataCol="1"/>
  <pivotFields count="13">
    <pivotField numFmtId="14" showAll="0">
      <items count="15">
        <item x="0"/>
        <item x="1"/>
        <item x="2"/>
        <item x="3"/>
        <item x="4"/>
        <item x="5"/>
        <item x="6"/>
        <item x="7"/>
        <item x="8"/>
        <item x="9"/>
        <item x="10"/>
        <item x="11"/>
        <item x="12"/>
        <item x="13"/>
        <item t="default"/>
      </items>
    </pivotField>
    <pivotField axis="axisRow" showAll="0">
      <items count="36">
        <item x="25"/>
        <item x="15"/>
        <item x="28"/>
        <item x="33"/>
        <item x="11"/>
        <item x="32"/>
        <item x="20"/>
        <item x="17"/>
        <item x="3"/>
        <item x="26"/>
        <item x="16"/>
        <item x="5"/>
        <item x="22"/>
        <item x="7"/>
        <item x="31"/>
        <item x="34"/>
        <item x="27"/>
        <item x="19"/>
        <item x="14"/>
        <item x="6"/>
        <item x="8"/>
        <item x="1"/>
        <item x="9"/>
        <item x="12"/>
        <item x="30"/>
        <item x="10"/>
        <item x="29"/>
        <item x="2"/>
        <item x="18"/>
        <item x="23"/>
        <item x="0"/>
        <item x="13"/>
        <item x="24"/>
        <item x="4"/>
        <item x="21"/>
        <item t="default"/>
      </items>
    </pivotField>
    <pivotField showAll="0">
      <items count="24">
        <item x="0"/>
        <item x="14"/>
        <item x="17"/>
        <item x="8"/>
        <item x="13"/>
        <item x="18"/>
        <item x="10"/>
        <item x="15"/>
        <item x="16"/>
        <item x="20"/>
        <item x="4"/>
        <item x="3"/>
        <item x="19"/>
        <item x="6"/>
        <item x="5"/>
        <item x="2"/>
        <item x="22"/>
        <item x="21"/>
        <item x="12"/>
        <item x="11"/>
        <item x="9"/>
        <item x="1"/>
        <item x="7"/>
        <item t="default"/>
      </items>
    </pivotField>
    <pivotField showAll="0">
      <items count="11">
        <item x="6"/>
        <item x="3"/>
        <item x="2"/>
        <item x="8"/>
        <item x="5"/>
        <item x="9"/>
        <item x="1"/>
        <item x="7"/>
        <item x="0"/>
        <item x="4"/>
        <item t="default"/>
      </items>
    </pivotField>
    <pivotField showAll="0"/>
    <pivotField showAll="0"/>
    <pivotField showAll="0"/>
    <pivotField showAll="0"/>
    <pivotField showAll="0"/>
    <pivotField showAll="0"/>
    <pivotField dataField="1" showAll="0"/>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1"/>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rowItems>
  <colItems count="1">
    <i/>
  </colItems>
  <dataFields count="1">
    <dataField name="Sum of Total Sales" fld="10" baseField="0" baseItem="0" numFmtId="165"/>
  </dataFields>
  <formats count="2">
    <format dxfId="64">
      <pivotArea outline="0" collapsedLevelsAreSubtotals="1" fieldPosition="0"/>
    </format>
    <format dxfId="63">
      <pivotArea dataOnly="0" labelOnly="1" outline="0" axis="axisValues" fieldPosition="0"/>
    </format>
  </format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33"/>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4EC58D9-0084-4B3C-9841-D3D8128A85AD}" name="PivotTable11" cacheId="3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B3:C13" firstHeaderRow="1" firstDataRow="1" firstDataCol="1"/>
  <pivotFields count="13">
    <pivotField numFmtId="14" showAll="0">
      <items count="15">
        <item x="0"/>
        <item x="1"/>
        <item x="2"/>
        <item x="3"/>
        <item x="4"/>
        <item x="5"/>
        <item x="6"/>
        <item x="7"/>
        <item x="8"/>
        <item x="9"/>
        <item x="10"/>
        <item x="11"/>
        <item x="12"/>
        <item x="13"/>
        <item t="default"/>
      </items>
    </pivotField>
    <pivotField showAll="0"/>
    <pivotField showAll="0">
      <items count="24">
        <item x="0"/>
        <item x="14"/>
        <item x="17"/>
        <item x="8"/>
        <item x="13"/>
        <item x="18"/>
        <item x="10"/>
        <item x="15"/>
        <item x="16"/>
        <item x="20"/>
        <item x="4"/>
        <item x="3"/>
        <item x="19"/>
        <item x="6"/>
        <item x="5"/>
        <item x="2"/>
        <item x="22"/>
        <item x="21"/>
        <item x="12"/>
        <item x="11"/>
        <item x="9"/>
        <item x="1"/>
        <item x="7"/>
        <item t="default"/>
      </items>
    </pivotField>
    <pivotField showAll="0">
      <items count="11">
        <item x="6"/>
        <item x="3"/>
        <item x="2"/>
        <item x="8"/>
        <item x="5"/>
        <item x="9"/>
        <item x="1"/>
        <item x="7"/>
        <item x="0"/>
        <item x="4"/>
        <item t="default"/>
      </items>
    </pivotField>
    <pivotField axis="axisRow" showAll="0" measureFilter="1" sortType="descending">
      <items count="19">
        <item x="10"/>
        <item x="9"/>
        <item x="12"/>
        <item x="2"/>
        <item x="6"/>
        <item x="16"/>
        <item x="4"/>
        <item x="14"/>
        <item x="1"/>
        <item x="15"/>
        <item x="8"/>
        <item x="3"/>
        <item x="11"/>
        <item x="17"/>
        <item x="5"/>
        <item x="0"/>
        <item x="13"/>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4"/>
  </rowFields>
  <rowItems count="10">
    <i>
      <x v="8"/>
    </i>
    <i>
      <x v="2"/>
    </i>
    <i>
      <x v="17"/>
    </i>
    <i>
      <x v="11"/>
    </i>
    <i>
      <x v="15"/>
    </i>
    <i>
      <x v="3"/>
    </i>
    <i>
      <x v="10"/>
    </i>
    <i>
      <x v="7"/>
    </i>
    <i>
      <x v="14"/>
    </i>
    <i>
      <x v="12"/>
    </i>
  </rowItems>
  <colItems count="1">
    <i/>
  </colItems>
  <dataFields count="1">
    <dataField name="Sum of Quantity" fld="9" baseField="0" baseItem="0"/>
  </dataFields>
  <chartFormats count="2">
    <chartFormat chart="9"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4507C62-9137-44BC-AEF8-219CA262E1CF}" name="PivotTable12" cacheId="3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B3:C38" firstHeaderRow="1" firstDataRow="1" firstDataCol="1"/>
  <pivotFields count="13">
    <pivotField numFmtId="14" showAll="0">
      <items count="15">
        <item x="0"/>
        <item x="1"/>
        <item x="2"/>
        <item x="3"/>
        <item x="4"/>
        <item x="5"/>
        <item x="6"/>
        <item x="7"/>
        <item x="8"/>
        <item x="9"/>
        <item x="10"/>
        <item x="11"/>
        <item x="12"/>
        <item x="13"/>
        <item t="default"/>
      </items>
    </pivotField>
    <pivotField axis="axisRow" showAll="0">
      <items count="36">
        <item x="25"/>
        <item x="15"/>
        <item x="28"/>
        <item x="33"/>
        <item x="11"/>
        <item x="32"/>
        <item x="20"/>
        <item x="17"/>
        <item x="3"/>
        <item x="26"/>
        <item x="16"/>
        <item x="5"/>
        <item x="22"/>
        <item x="7"/>
        <item x="31"/>
        <item x="34"/>
        <item x="27"/>
        <item x="19"/>
        <item x="14"/>
        <item x="6"/>
        <item x="8"/>
        <item x="1"/>
        <item x="9"/>
        <item x="12"/>
        <item x="30"/>
        <item x="10"/>
        <item x="29"/>
        <item x="2"/>
        <item x="18"/>
        <item x="23"/>
        <item x="0"/>
        <item x="13"/>
        <item x="24"/>
        <item x="4"/>
        <item x="21"/>
        <item t="default"/>
      </items>
    </pivotField>
    <pivotField showAll="0">
      <items count="24">
        <item x="0"/>
        <item x="14"/>
        <item x="17"/>
        <item x="8"/>
        <item x="13"/>
        <item x="18"/>
        <item x="10"/>
        <item x="15"/>
        <item x="16"/>
        <item x="20"/>
        <item x="4"/>
        <item x="3"/>
        <item x="19"/>
        <item x="6"/>
        <item x="5"/>
        <item x="2"/>
        <item x="22"/>
        <item x="21"/>
        <item x="12"/>
        <item x="11"/>
        <item x="9"/>
        <item x="1"/>
        <item x="7"/>
        <item t="default"/>
      </items>
    </pivotField>
    <pivotField showAll="0">
      <items count="11">
        <item x="6"/>
        <item x="3"/>
        <item x="2"/>
        <item x="8"/>
        <item x="5"/>
        <item x="9"/>
        <item x="1"/>
        <item x="7"/>
        <item x="0"/>
        <item x="4"/>
        <item t="default"/>
      </items>
    </pivotField>
    <pivotField showAll="0"/>
    <pivotField dataField="1" showAll="0"/>
    <pivotField showAll="0"/>
    <pivotField showAll="0"/>
    <pivotField showAll="0"/>
    <pivotField showAll="0"/>
    <pivotField showAll="0"/>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1"/>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rowItems>
  <colItems count="1">
    <i/>
  </colItems>
  <dataFields count="1">
    <dataField name="Average of Condition" fld="5" subtotal="average" baseField="1" baseItem="0" numFmtId="2"/>
  </dataFields>
  <formats count="1">
    <format dxfId="62">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BB62EF0-B0F5-4687-A3C6-696CDBD3C6F5}" name="PivotTable13" cacheId="3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0">
  <location ref="B3:C13" firstHeaderRow="1" firstDataRow="1" firstDataCol="1"/>
  <pivotFields count="13">
    <pivotField numFmtId="14" showAll="0">
      <items count="15">
        <item x="0"/>
        <item x="1"/>
        <item x="2"/>
        <item x="3"/>
        <item x="4"/>
        <item x="5"/>
        <item x="6"/>
        <item x="7"/>
        <item x="8"/>
        <item x="9"/>
        <item x="10"/>
        <item x="11"/>
        <item x="12"/>
        <item x="13"/>
        <item t="default"/>
      </items>
    </pivotField>
    <pivotField showAll="0"/>
    <pivotField showAll="0">
      <items count="24">
        <item x="0"/>
        <item x="14"/>
        <item x="17"/>
        <item x="8"/>
        <item x="13"/>
        <item x="18"/>
        <item x="10"/>
        <item x="15"/>
        <item x="16"/>
        <item x="20"/>
        <item x="4"/>
        <item x="3"/>
        <item x="19"/>
        <item x="6"/>
        <item x="5"/>
        <item x="2"/>
        <item x="22"/>
        <item x="21"/>
        <item x="12"/>
        <item x="11"/>
        <item x="9"/>
        <item x="1"/>
        <item x="7"/>
        <item t="default"/>
      </items>
    </pivotField>
    <pivotField showAll="0">
      <items count="11">
        <item x="6"/>
        <item x="3"/>
        <item x="2"/>
        <item x="8"/>
        <item x="5"/>
        <item x="9"/>
        <item x="1"/>
        <item x="7"/>
        <item x="0"/>
        <item x="4"/>
        <item t="default"/>
      </items>
    </pivotField>
    <pivotField showAll="0"/>
    <pivotField showAll="0"/>
    <pivotField axis="axisRow" showAll="0" sortType="descending">
      <items count="11">
        <item x="5"/>
        <item x="9"/>
        <item x="2"/>
        <item x="4"/>
        <item x="6"/>
        <item x="0"/>
        <item x="3"/>
        <item x="1"/>
        <item x="7"/>
        <item x="8"/>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6"/>
  </rowFields>
  <rowItems count="10">
    <i>
      <x v="3"/>
    </i>
    <i>
      <x v="1"/>
    </i>
    <i>
      <x v="2"/>
    </i>
    <i>
      <x v="9"/>
    </i>
    <i>
      <x v="4"/>
    </i>
    <i>
      <x v="6"/>
    </i>
    <i>
      <x/>
    </i>
    <i>
      <x v="7"/>
    </i>
    <i>
      <x v="5"/>
    </i>
    <i>
      <x v="8"/>
    </i>
  </rowItems>
  <colItems count="1">
    <i/>
  </colItems>
  <dataFields count="1">
    <dataField name="Sum of Quantity" fld="9" baseField="0" baseItem="0"/>
  </dataFields>
  <chartFormats count="2">
    <chartFormat chart="15" format="0"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DFEE903-625D-4FE5-AC46-90DB3D8BF9A0}" name="PivotTable14" cacheId="3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B3:C15" firstHeaderRow="1" firstDataRow="1" firstDataCol="1"/>
  <pivotFields count="13">
    <pivotField axis="axisRow" numFmtId="14" showAll="0">
      <items count="15">
        <item x="0"/>
        <item x="1"/>
        <item x="2"/>
        <item x="3"/>
        <item x="4"/>
        <item x="5"/>
        <item x="6"/>
        <item x="7"/>
        <item x="8"/>
        <item x="9"/>
        <item x="10"/>
        <item x="11"/>
        <item x="12"/>
        <item x="13"/>
        <item t="default"/>
      </items>
    </pivotField>
    <pivotField showAll="0"/>
    <pivotField showAll="0">
      <items count="24">
        <item x="0"/>
        <item x="14"/>
        <item x="17"/>
        <item x="8"/>
        <item x="13"/>
        <item x="18"/>
        <item x="10"/>
        <item x="15"/>
        <item x="16"/>
        <item x="20"/>
        <item x="4"/>
        <item x="3"/>
        <item x="19"/>
        <item x="6"/>
        <item x="5"/>
        <item x="2"/>
        <item x="22"/>
        <item x="21"/>
        <item x="12"/>
        <item x="11"/>
        <item x="9"/>
        <item x="1"/>
        <item x="7"/>
        <item t="default"/>
      </items>
    </pivotField>
    <pivotField showAll="0"/>
    <pivotField showAll="0"/>
    <pivotField showAll="0"/>
    <pivotField showAll="0"/>
    <pivotField showAll="0"/>
    <pivotField showAll="0"/>
    <pivotField showAll="0"/>
    <pivotField dataField="1" showAll="0"/>
    <pivotField showAll="0">
      <items count="7">
        <item sd="0" x="0"/>
        <item sd="0" x="1"/>
        <item sd="0" x="2"/>
        <item sd="0" x="3"/>
        <item sd="0" x="4"/>
        <item sd="0" x="5"/>
        <item t="default"/>
      </items>
    </pivotField>
    <pivotField showAll="0">
      <items count="14">
        <item sd="0" x="0"/>
        <item sd="0" x="1"/>
        <item sd="0" x="2"/>
        <item sd="0" x="3"/>
        <item sd="0" x="4"/>
        <item sd="0" x="5"/>
        <item sd="0" x="6"/>
        <item sd="0" x="7"/>
        <item sd="0" x="8"/>
        <item sd="0" x="9"/>
        <item sd="0" x="10"/>
        <item sd="0" x="11"/>
        <item sd="0" x="12"/>
        <item t="default"/>
      </items>
    </pivotField>
  </pivotFields>
  <rowFields count="1">
    <field x="0"/>
  </rowFields>
  <rowItems count="12">
    <i>
      <x v="1"/>
    </i>
    <i>
      <x v="2"/>
    </i>
    <i>
      <x v="3"/>
    </i>
    <i>
      <x v="4"/>
    </i>
    <i>
      <x v="5"/>
    </i>
    <i>
      <x v="6"/>
    </i>
    <i>
      <x v="7"/>
    </i>
    <i>
      <x v="8"/>
    </i>
    <i>
      <x v="9"/>
    </i>
    <i>
      <x v="10"/>
    </i>
    <i>
      <x v="11"/>
    </i>
    <i>
      <x v="12"/>
    </i>
  </rowItems>
  <colItems count="1">
    <i/>
  </colItems>
  <dataFields count="1">
    <dataField name="Sum of Total Sales" fld="10" baseField="0" baseItem="0" numFmtId="165"/>
  </dataFields>
  <formats count="2">
    <format dxfId="61">
      <pivotArea outline="0" collapsedLevelsAreSubtotals="1" fieldPosition="0"/>
    </format>
    <format dxfId="60">
      <pivotArea dataOnly="0" labelOnly="1" outline="0" axis="axisValues" fieldPosition="0"/>
    </format>
  </formats>
  <chartFormats count="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866FD867-26F4-4CBC-8B78-6BB8C52657D6}" sourceName="Brand">
  <pivotTables>
    <pivotTable tabId="6" name="PivotTable8"/>
    <pivotTable tabId="10" name="PivotTable12"/>
    <pivotTable tabId="13" name="PivotTable13"/>
    <pivotTable tabId="9" name="PivotTable11"/>
    <pivotTable tabId="3" name="PivotTable5"/>
    <pivotTable tabId="14" name="PivotTable14"/>
    <pivotTable tabId="8" name="PivotTable10"/>
    <pivotTable tabId="7" name="PivotTable9"/>
    <pivotTable tabId="5" name="PivotTable7"/>
  </pivotTables>
  <data>
    <tabular pivotCacheId="35558107">
      <items count="23">
        <i x="0" s="1"/>
        <i x="14" s="1"/>
        <i x="17" s="1"/>
        <i x="8" s="1"/>
        <i x="13" s="1"/>
        <i x="18" s="1"/>
        <i x="10" s="1"/>
        <i x="15" s="1"/>
        <i x="16" s="1"/>
        <i x="20" s="1"/>
        <i x="4" s="1"/>
        <i x="3" s="1"/>
        <i x="19" s="1"/>
        <i x="6" s="1"/>
        <i x="5" s="1"/>
        <i x="2" s="1"/>
        <i x="22" s="1"/>
        <i x="21" s="1"/>
        <i x="12" s="1"/>
        <i x="11" s="1"/>
        <i x="9" s="1"/>
        <i x="1"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7ECA1E6-6A3D-4FC1-A0FA-31E8741BA83A}" sourceName="State">
  <pivotTables>
    <pivotTable tabId="8" name="PivotTable10"/>
    <pivotTable tabId="10" name="PivotTable12"/>
    <pivotTable tabId="13" name="PivotTable13"/>
    <pivotTable tabId="9" name="PivotTable11"/>
    <pivotTable tabId="3" name="PivotTable5"/>
    <pivotTable tabId="6" name="PivotTable8"/>
    <pivotTable tabId="7" name="PivotTable9"/>
    <pivotTable tabId="5" name="PivotTable7"/>
  </pivotTables>
  <data>
    <tabular pivotCacheId="35558107">
      <items count="10">
        <i x="6" s="1"/>
        <i x="3" s="1"/>
        <i x="2" s="1"/>
        <i x="8" s="1"/>
        <i x="5" s="1"/>
        <i x="9" s="1"/>
        <i x="1" s="1"/>
        <i x="7"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E2D3A026-6C78-4A74-86AB-E0F8BE5507D5}" cache="Slicer_Brand" caption="Brand" startItem="15" style="Car Sales" rowHeight="247650"/>
  <slicer name="State 1" xr10:uid="{994AB340-CD62-41C5-827F-C436FD7EF64C}" cache="Slicer_State" caption="State" style="Car Sales"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2" xr10:uid="{61C9C000-99A6-47F6-9FDF-2E1E7FDF641E}" cache="Slicer_Brand" caption="Brand" style="Car Sales" rowHeight="247650"/>
  <slicer name="State 2" xr10:uid="{F5A2DE7E-A4EE-49F8-9B7F-56FCB3FE9785}" cache="Slicer_State" caption="State" style="Car Sales"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16525158-96FE-4D65-831B-C23BC1AB48EB}" cache="Slicer_Brand" caption="Brand" style="Car Sales"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120720CC-4BAB-45D2-90FF-797DA9405ECC}" cache="Slicer_State" caption="State" style="Car Sales"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3DB1C7-0A8C-45D2-A047-306277231A20}" name="Table1" displayName="Table1" ref="A1:K251" totalsRowShown="0">
  <autoFilter ref="A1:K251" xr:uid="{FF3DB1C7-0A8C-45D2-A047-306277231A20}"/>
  <tableColumns count="11">
    <tableColumn id="1" xr3:uid="{2D556FF4-14E3-40D9-87D6-43CB2295B150}" name="Date" dataDxfId="76"/>
    <tableColumn id="2" xr3:uid="{A4039974-1528-463E-A2FD-6F6F3AF87B88}" name="Year"/>
    <tableColumn id="3" xr3:uid="{ADC6E122-6652-49C5-A010-FD902F8D6084}" name="Brand"/>
    <tableColumn id="4" xr3:uid="{02B66A37-8557-4DF8-B3A5-061F783168F3}" name="State"/>
    <tableColumn id="5" xr3:uid="{5809D2D6-105E-489A-BB11-7BA12355AD03}" name="Color"/>
    <tableColumn id="6" xr3:uid="{6AB4237C-01B4-47FC-A59F-B56013B2E154}" name="Condition"/>
    <tableColumn id="7" xr3:uid="{BB8A8156-108B-4FEC-B0EA-5508FCF41A15}" name="Body Type"/>
    <tableColumn id="8" xr3:uid="{05A8794F-FB59-451A-B8F4-C28FCC20A9D8}" name="Transmission"/>
    <tableColumn id="9" xr3:uid="{CA4EE85F-84D5-4ADB-8052-185AC747776E}" name="Unit Price"/>
    <tableColumn id="10" xr3:uid="{5EF7DA92-5B69-4CB1-8ADF-2C1D27E75687}" name="Quantity"/>
    <tableColumn id="11" xr3:uid="{CCBA184D-0D14-48F0-8BA3-F546FB593728}" name="Total 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bin"/><Relationship Id="rId1" Type="http://schemas.openxmlformats.org/officeDocument/2006/relationships/pivotTable" Target="../pivotTables/pivotTable6.xml"/><Relationship Id="rId4" Type="http://schemas.microsoft.com/office/2007/relationships/slicer" Target="../slicers/slicer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65CF9-4F89-45F1-86FB-CB2CCD2784F7}">
  <dimension ref="A1:K251"/>
  <sheetViews>
    <sheetView topLeftCell="A220" workbookViewId="0">
      <selection activeCell="D33" sqref="D33"/>
    </sheetView>
  </sheetViews>
  <sheetFormatPr defaultRowHeight="14.4" x14ac:dyDescent="0.3"/>
  <cols>
    <col min="1" max="1" width="10.33203125" bestFit="1" customWidth="1"/>
    <col min="6" max="6" width="11" customWidth="1"/>
    <col min="7" max="7" width="11.21875" customWidth="1"/>
    <col min="8" max="8" width="13.88671875" customWidth="1"/>
    <col min="9" max="9" width="11" customWidth="1"/>
    <col min="10" max="10" width="10" customWidth="1"/>
    <col min="11" max="11" width="11.88671875" customWidth="1"/>
  </cols>
  <sheetData>
    <row r="1" spans="1:11" x14ac:dyDescent="0.3">
      <c r="A1" t="s">
        <v>0</v>
      </c>
      <c r="B1" t="s">
        <v>1</v>
      </c>
      <c r="C1" t="s">
        <v>2</v>
      </c>
      <c r="D1" t="s">
        <v>3</v>
      </c>
      <c r="E1" t="s">
        <v>4</v>
      </c>
      <c r="F1" t="s">
        <v>5</v>
      </c>
      <c r="G1" t="s">
        <v>6</v>
      </c>
      <c r="H1" t="s">
        <v>7</v>
      </c>
      <c r="I1" t="s">
        <v>8</v>
      </c>
      <c r="J1" t="s">
        <v>9</v>
      </c>
      <c r="K1" t="s">
        <v>10</v>
      </c>
    </row>
    <row r="2" spans="1:11" x14ac:dyDescent="0.3">
      <c r="A2" s="1">
        <v>43639</v>
      </c>
      <c r="B2">
        <v>2020</v>
      </c>
      <c r="C2" t="s">
        <v>11</v>
      </c>
      <c r="D2" t="s">
        <v>12</v>
      </c>
      <c r="E2" t="s">
        <v>13</v>
      </c>
      <c r="F2">
        <v>38.1</v>
      </c>
      <c r="G2" t="s">
        <v>14</v>
      </c>
      <c r="H2" t="s">
        <v>15</v>
      </c>
      <c r="I2">
        <v>70000</v>
      </c>
      <c r="J2">
        <v>5</v>
      </c>
      <c r="K2">
        <v>350000</v>
      </c>
    </row>
    <row r="3" spans="1:11" x14ac:dyDescent="0.3">
      <c r="A3" s="1">
        <v>42908</v>
      </c>
      <c r="B3">
        <v>2011</v>
      </c>
      <c r="C3" t="s">
        <v>16</v>
      </c>
      <c r="D3" t="s">
        <v>17</v>
      </c>
      <c r="E3" t="s">
        <v>18</v>
      </c>
      <c r="F3">
        <v>28.3</v>
      </c>
      <c r="G3" t="s">
        <v>19</v>
      </c>
      <c r="H3" t="s">
        <v>15</v>
      </c>
      <c r="I3">
        <v>80000</v>
      </c>
      <c r="J3">
        <v>4</v>
      </c>
      <c r="K3">
        <v>320000</v>
      </c>
    </row>
    <row r="4" spans="1:11" x14ac:dyDescent="0.3">
      <c r="A4" s="1">
        <v>43588</v>
      </c>
      <c r="B4">
        <v>2017</v>
      </c>
      <c r="C4" t="s">
        <v>20</v>
      </c>
      <c r="D4" t="s">
        <v>21</v>
      </c>
      <c r="E4" t="s">
        <v>22</v>
      </c>
      <c r="F4">
        <v>32.9</v>
      </c>
      <c r="G4" t="s">
        <v>23</v>
      </c>
      <c r="H4" t="s">
        <v>15</v>
      </c>
      <c r="I4">
        <v>50000</v>
      </c>
      <c r="J4">
        <v>3</v>
      </c>
      <c r="K4">
        <v>150000</v>
      </c>
    </row>
    <row r="5" spans="1:11" x14ac:dyDescent="0.3">
      <c r="A5" s="1">
        <v>42213</v>
      </c>
      <c r="B5">
        <v>1998</v>
      </c>
      <c r="C5" t="s">
        <v>24</v>
      </c>
      <c r="D5" t="s">
        <v>25</v>
      </c>
      <c r="E5" t="s">
        <v>26</v>
      </c>
      <c r="F5">
        <v>11.7</v>
      </c>
      <c r="G5" t="s">
        <v>27</v>
      </c>
      <c r="H5" t="s">
        <v>28</v>
      </c>
      <c r="I5">
        <v>45000</v>
      </c>
      <c r="J5">
        <v>1</v>
      </c>
      <c r="K5">
        <v>45000</v>
      </c>
    </row>
    <row r="6" spans="1:11" x14ac:dyDescent="0.3">
      <c r="A6" s="1">
        <v>44185</v>
      </c>
      <c r="B6">
        <v>2023</v>
      </c>
      <c r="C6" t="s">
        <v>29</v>
      </c>
      <c r="D6" t="s">
        <v>30</v>
      </c>
      <c r="E6" t="s">
        <v>31</v>
      </c>
      <c r="F6">
        <v>38</v>
      </c>
      <c r="G6" t="s">
        <v>32</v>
      </c>
      <c r="H6" t="s">
        <v>28</v>
      </c>
      <c r="I6">
        <v>24000</v>
      </c>
      <c r="J6">
        <v>5</v>
      </c>
      <c r="K6">
        <v>120000</v>
      </c>
    </row>
    <row r="7" spans="1:11" x14ac:dyDescent="0.3">
      <c r="A7" s="1">
        <v>43446</v>
      </c>
      <c r="B7">
        <v>2001</v>
      </c>
      <c r="C7" t="s">
        <v>33</v>
      </c>
      <c r="D7" t="s">
        <v>21</v>
      </c>
      <c r="E7" t="s">
        <v>34</v>
      </c>
      <c r="F7">
        <v>16.7</v>
      </c>
      <c r="G7" t="s">
        <v>32</v>
      </c>
      <c r="H7" t="s">
        <v>28</v>
      </c>
      <c r="I7">
        <v>47000</v>
      </c>
      <c r="J7">
        <v>1</v>
      </c>
      <c r="K7">
        <v>47000</v>
      </c>
    </row>
    <row r="8" spans="1:11" x14ac:dyDescent="0.3">
      <c r="A8" s="1">
        <v>43788</v>
      </c>
      <c r="B8">
        <v>2009</v>
      </c>
      <c r="C8" t="s">
        <v>35</v>
      </c>
      <c r="D8" t="s">
        <v>12</v>
      </c>
      <c r="E8" t="s">
        <v>26</v>
      </c>
      <c r="F8">
        <v>24.7</v>
      </c>
      <c r="G8" t="s">
        <v>23</v>
      </c>
      <c r="H8" t="s">
        <v>28</v>
      </c>
      <c r="I8">
        <v>140000</v>
      </c>
      <c r="J8">
        <v>2</v>
      </c>
      <c r="K8">
        <v>280000</v>
      </c>
    </row>
    <row r="9" spans="1:11" x14ac:dyDescent="0.3">
      <c r="A9" s="1">
        <v>42746</v>
      </c>
      <c r="B9">
        <v>2011</v>
      </c>
      <c r="C9" t="s">
        <v>29</v>
      </c>
      <c r="D9" t="s">
        <v>36</v>
      </c>
      <c r="E9" t="s">
        <v>34</v>
      </c>
      <c r="F9">
        <v>25.5</v>
      </c>
      <c r="G9" t="s">
        <v>14</v>
      </c>
      <c r="H9" t="s">
        <v>15</v>
      </c>
      <c r="I9">
        <v>24000</v>
      </c>
      <c r="J9">
        <v>3</v>
      </c>
      <c r="K9">
        <v>72000</v>
      </c>
    </row>
    <row r="10" spans="1:11" x14ac:dyDescent="0.3">
      <c r="A10" s="1">
        <v>43970</v>
      </c>
      <c r="B10">
        <v>2003</v>
      </c>
      <c r="C10" t="s">
        <v>37</v>
      </c>
      <c r="D10" t="s">
        <v>25</v>
      </c>
      <c r="E10" t="s">
        <v>38</v>
      </c>
      <c r="F10">
        <v>20.5</v>
      </c>
      <c r="G10" t="s">
        <v>32</v>
      </c>
      <c r="H10" t="s">
        <v>28</v>
      </c>
      <c r="I10">
        <v>29000</v>
      </c>
      <c r="J10">
        <v>3</v>
      </c>
      <c r="K10">
        <v>87000</v>
      </c>
    </row>
    <row r="11" spans="1:11" x14ac:dyDescent="0.3">
      <c r="A11" s="1">
        <v>44667</v>
      </c>
      <c r="B11">
        <v>1998</v>
      </c>
      <c r="C11" t="s">
        <v>39</v>
      </c>
      <c r="D11" t="s">
        <v>40</v>
      </c>
      <c r="E11" t="s">
        <v>41</v>
      </c>
      <c r="F11">
        <v>13.2</v>
      </c>
      <c r="G11" t="s">
        <v>19</v>
      </c>
      <c r="H11" t="s">
        <v>15</v>
      </c>
      <c r="I11">
        <v>32000</v>
      </c>
      <c r="J11">
        <v>5</v>
      </c>
      <c r="K11">
        <v>160000</v>
      </c>
    </row>
    <row r="12" spans="1:11" x14ac:dyDescent="0.3">
      <c r="A12" s="1">
        <v>42759</v>
      </c>
      <c r="B12">
        <v>2010</v>
      </c>
      <c r="C12" t="s">
        <v>20</v>
      </c>
      <c r="D12" t="s">
        <v>36</v>
      </c>
      <c r="E12" t="s">
        <v>42</v>
      </c>
      <c r="F12">
        <v>22.7</v>
      </c>
      <c r="G12" t="s">
        <v>43</v>
      </c>
      <c r="H12" t="s">
        <v>28</v>
      </c>
      <c r="I12">
        <v>50000</v>
      </c>
      <c r="J12">
        <v>5</v>
      </c>
      <c r="K12">
        <v>250000</v>
      </c>
    </row>
    <row r="13" spans="1:11" x14ac:dyDescent="0.3">
      <c r="A13" s="1">
        <v>43016</v>
      </c>
      <c r="B13">
        <v>2012</v>
      </c>
      <c r="C13" t="s">
        <v>44</v>
      </c>
      <c r="D13" t="s">
        <v>12</v>
      </c>
      <c r="E13" t="s">
        <v>45</v>
      </c>
      <c r="F13">
        <v>28.7</v>
      </c>
      <c r="G13" t="s">
        <v>46</v>
      </c>
      <c r="H13" t="s">
        <v>28</v>
      </c>
      <c r="I13">
        <v>180000</v>
      </c>
      <c r="J13">
        <v>4</v>
      </c>
      <c r="K13">
        <v>720000</v>
      </c>
    </row>
    <row r="14" spans="1:11" x14ac:dyDescent="0.3">
      <c r="A14" s="1">
        <v>43159</v>
      </c>
      <c r="B14">
        <v>2001</v>
      </c>
      <c r="C14" t="s">
        <v>16</v>
      </c>
      <c r="D14" t="s">
        <v>40</v>
      </c>
      <c r="E14" t="s">
        <v>47</v>
      </c>
      <c r="F14">
        <v>18.899999999999999</v>
      </c>
      <c r="G14" t="s">
        <v>32</v>
      </c>
      <c r="H14" t="s">
        <v>15</v>
      </c>
      <c r="I14">
        <v>80000</v>
      </c>
      <c r="J14">
        <v>4</v>
      </c>
      <c r="K14">
        <v>320000</v>
      </c>
    </row>
    <row r="15" spans="1:11" x14ac:dyDescent="0.3">
      <c r="A15" s="1">
        <v>43945</v>
      </c>
      <c r="B15">
        <v>2015</v>
      </c>
      <c r="C15" t="s">
        <v>33</v>
      </c>
      <c r="D15" t="s">
        <v>48</v>
      </c>
      <c r="E15" t="s">
        <v>49</v>
      </c>
      <c r="F15">
        <v>30</v>
      </c>
      <c r="G15" t="s">
        <v>43</v>
      </c>
      <c r="H15" t="s">
        <v>15</v>
      </c>
      <c r="I15">
        <v>47000</v>
      </c>
      <c r="J15">
        <v>1</v>
      </c>
      <c r="K15">
        <v>47000</v>
      </c>
    </row>
    <row r="16" spans="1:11" x14ac:dyDescent="0.3">
      <c r="A16" s="1">
        <v>42733</v>
      </c>
      <c r="B16">
        <v>2003</v>
      </c>
      <c r="C16" t="s">
        <v>50</v>
      </c>
      <c r="D16" t="s">
        <v>12</v>
      </c>
      <c r="E16" t="s">
        <v>18</v>
      </c>
      <c r="F16">
        <v>20</v>
      </c>
      <c r="G16" t="s">
        <v>51</v>
      </c>
      <c r="H16" t="s">
        <v>15</v>
      </c>
      <c r="I16">
        <v>160000</v>
      </c>
      <c r="J16">
        <v>2</v>
      </c>
      <c r="K16">
        <v>320000</v>
      </c>
    </row>
    <row r="17" spans="1:11" x14ac:dyDescent="0.3">
      <c r="A17" s="1">
        <v>43881</v>
      </c>
      <c r="B17">
        <v>1994</v>
      </c>
      <c r="C17" t="s">
        <v>52</v>
      </c>
      <c r="D17" t="s">
        <v>40</v>
      </c>
      <c r="E17" t="s">
        <v>18</v>
      </c>
      <c r="F17">
        <v>12</v>
      </c>
      <c r="G17" t="s">
        <v>14</v>
      </c>
      <c r="H17" t="s">
        <v>28</v>
      </c>
      <c r="I17">
        <v>52000</v>
      </c>
      <c r="J17">
        <v>2</v>
      </c>
      <c r="K17">
        <v>104000</v>
      </c>
    </row>
    <row r="18" spans="1:11" x14ac:dyDescent="0.3">
      <c r="A18" s="1">
        <v>43922</v>
      </c>
      <c r="B18">
        <v>2013</v>
      </c>
      <c r="C18" t="s">
        <v>16</v>
      </c>
      <c r="D18" t="s">
        <v>21</v>
      </c>
      <c r="E18" t="s">
        <v>53</v>
      </c>
      <c r="F18">
        <v>28</v>
      </c>
      <c r="G18" t="s">
        <v>54</v>
      </c>
      <c r="H18" t="s">
        <v>15</v>
      </c>
      <c r="I18">
        <v>80000</v>
      </c>
      <c r="J18">
        <v>3</v>
      </c>
      <c r="K18">
        <v>240000</v>
      </c>
    </row>
    <row r="19" spans="1:11" x14ac:dyDescent="0.3">
      <c r="A19" s="1">
        <v>43979</v>
      </c>
      <c r="B19">
        <v>2021</v>
      </c>
      <c r="C19" t="s">
        <v>16</v>
      </c>
      <c r="D19" t="s">
        <v>40</v>
      </c>
      <c r="E19" t="s">
        <v>13</v>
      </c>
      <c r="F19">
        <v>34.1</v>
      </c>
      <c r="G19" t="s">
        <v>23</v>
      </c>
      <c r="H19" t="s">
        <v>28</v>
      </c>
      <c r="I19">
        <v>80000</v>
      </c>
      <c r="J19">
        <v>3</v>
      </c>
      <c r="K19">
        <v>240000</v>
      </c>
    </row>
    <row r="20" spans="1:11" x14ac:dyDescent="0.3">
      <c r="A20" s="1">
        <v>42874</v>
      </c>
      <c r="B20">
        <v>2023</v>
      </c>
      <c r="C20" t="s">
        <v>55</v>
      </c>
      <c r="D20" t="s">
        <v>56</v>
      </c>
      <c r="E20" t="s">
        <v>38</v>
      </c>
      <c r="F20">
        <v>37</v>
      </c>
      <c r="G20" t="s">
        <v>51</v>
      </c>
      <c r="H20" t="s">
        <v>28</v>
      </c>
      <c r="I20">
        <v>28000</v>
      </c>
      <c r="J20">
        <v>3</v>
      </c>
      <c r="K20">
        <v>84000</v>
      </c>
    </row>
    <row r="21" spans="1:11" x14ac:dyDescent="0.3">
      <c r="A21" s="1">
        <v>43635</v>
      </c>
      <c r="B21">
        <v>2008</v>
      </c>
      <c r="C21" t="s">
        <v>57</v>
      </c>
      <c r="D21" t="s">
        <v>21</v>
      </c>
      <c r="E21" t="s">
        <v>58</v>
      </c>
      <c r="F21">
        <v>24.8</v>
      </c>
      <c r="G21" t="s">
        <v>54</v>
      </c>
      <c r="H21" t="s">
        <v>15</v>
      </c>
      <c r="I21">
        <v>25000</v>
      </c>
      <c r="J21">
        <v>1</v>
      </c>
      <c r="K21">
        <v>25000</v>
      </c>
    </row>
    <row r="22" spans="1:11" x14ac:dyDescent="0.3">
      <c r="A22" s="1">
        <v>44520</v>
      </c>
      <c r="B22">
        <v>1991</v>
      </c>
      <c r="C22" t="s">
        <v>59</v>
      </c>
      <c r="D22" t="s">
        <v>36</v>
      </c>
      <c r="E22" t="s">
        <v>18</v>
      </c>
      <c r="F22">
        <v>6.7</v>
      </c>
      <c r="G22" t="s">
        <v>27</v>
      </c>
      <c r="H22" t="s">
        <v>28</v>
      </c>
      <c r="I22">
        <v>120000</v>
      </c>
      <c r="J22">
        <v>3</v>
      </c>
      <c r="K22">
        <v>360000</v>
      </c>
    </row>
    <row r="23" spans="1:11" x14ac:dyDescent="0.3">
      <c r="A23" s="1">
        <v>45801</v>
      </c>
      <c r="B23">
        <v>2009</v>
      </c>
      <c r="C23" t="s">
        <v>60</v>
      </c>
      <c r="D23" t="s">
        <v>17</v>
      </c>
      <c r="E23" t="s">
        <v>41</v>
      </c>
      <c r="F23">
        <v>23</v>
      </c>
      <c r="G23" t="s">
        <v>51</v>
      </c>
      <c r="H23" t="s">
        <v>15</v>
      </c>
      <c r="I23">
        <v>60000</v>
      </c>
      <c r="J23">
        <v>2</v>
      </c>
      <c r="K23">
        <v>120000</v>
      </c>
    </row>
    <row r="24" spans="1:11" x14ac:dyDescent="0.3">
      <c r="A24" s="1">
        <v>44130</v>
      </c>
      <c r="B24">
        <v>2000</v>
      </c>
      <c r="C24" t="s">
        <v>61</v>
      </c>
      <c r="D24" t="s">
        <v>62</v>
      </c>
      <c r="E24" t="s">
        <v>41</v>
      </c>
      <c r="F24">
        <v>17.399999999999999</v>
      </c>
      <c r="G24" t="s">
        <v>46</v>
      </c>
      <c r="H24" t="s">
        <v>15</v>
      </c>
      <c r="I24">
        <v>30000</v>
      </c>
      <c r="J24">
        <v>3</v>
      </c>
      <c r="K24">
        <v>90000</v>
      </c>
    </row>
    <row r="25" spans="1:11" x14ac:dyDescent="0.3">
      <c r="A25" s="1">
        <v>43142</v>
      </c>
      <c r="B25">
        <v>2017</v>
      </c>
      <c r="C25" t="s">
        <v>20</v>
      </c>
      <c r="D25" t="s">
        <v>36</v>
      </c>
      <c r="E25" t="s">
        <v>53</v>
      </c>
      <c r="F25">
        <v>35</v>
      </c>
      <c r="G25" t="s">
        <v>63</v>
      </c>
      <c r="H25" t="s">
        <v>15</v>
      </c>
      <c r="I25">
        <v>50000</v>
      </c>
      <c r="J25">
        <v>4</v>
      </c>
      <c r="K25">
        <v>200000</v>
      </c>
    </row>
    <row r="26" spans="1:11" x14ac:dyDescent="0.3">
      <c r="A26" s="1">
        <v>43222</v>
      </c>
      <c r="B26">
        <v>2015</v>
      </c>
      <c r="C26" t="s">
        <v>64</v>
      </c>
      <c r="D26" t="s">
        <v>12</v>
      </c>
      <c r="E26" t="s">
        <v>65</v>
      </c>
      <c r="F26">
        <v>29.6</v>
      </c>
      <c r="G26" t="s">
        <v>32</v>
      </c>
      <c r="H26" t="s">
        <v>15</v>
      </c>
      <c r="I26">
        <v>50000</v>
      </c>
      <c r="J26">
        <v>2</v>
      </c>
      <c r="K26">
        <v>100000</v>
      </c>
    </row>
    <row r="27" spans="1:11" x14ac:dyDescent="0.3">
      <c r="A27" s="1">
        <v>42933</v>
      </c>
      <c r="B27">
        <v>1997</v>
      </c>
      <c r="C27" t="s">
        <v>66</v>
      </c>
      <c r="D27" t="s">
        <v>12</v>
      </c>
      <c r="E27" t="s">
        <v>67</v>
      </c>
      <c r="F27">
        <v>13.1</v>
      </c>
      <c r="G27" t="s">
        <v>27</v>
      </c>
      <c r="H27" t="s">
        <v>15</v>
      </c>
      <c r="I27">
        <v>27000</v>
      </c>
      <c r="J27">
        <v>3</v>
      </c>
      <c r="K27">
        <v>81000</v>
      </c>
    </row>
    <row r="28" spans="1:11" x14ac:dyDescent="0.3">
      <c r="A28" s="1">
        <v>42969</v>
      </c>
      <c r="B28">
        <v>2001</v>
      </c>
      <c r="C28" t="s">
        <v>66</v>
      </c>
      <c r="D28" t="s">
        <v>40</v>
      </c>
      <c r="E28" t="s">
        <v>65</v>
      </c>
      <c r="F28">
        <v>17.3</v>
      </c>
      <c r="G28" t="s">
        <v>32</v>
      </c>
      <c r="H28" t="s">
        <v>28</v>
      </c>
      <c r="I28">
        <v>27000</v>
      </c>
      <c r="J28">
        <v>2</v>
      </c>
      <c r="K28">
        <v>54000</v>
      </c>
    </row>
    <row r="29" spans="1:11" x14ac:dyDescent="0.3">
      <c r="A29" s="1">
        <v>43845</v>
      </c>
      <c r="B29">
        <v>2010</v>
      </c>
      <c r="C29" t="s">
        <v>59</v>
      </c>
      <c r="D29" t="s">
        <v>21</v>
      </c>
      <c r="E29" t="s">
        <v>65</v>
      </c>
      <c r="F29">
        <v>26.4</v>
      </c>
      <c r="G29" t="s">
        <v>46</v>
      </c>
      <c r="H29" t="s">
        <v>28</v>
      </c>
      <c r="I29">
        <v>120000</v>
      </c>
      <c r="J29">
        <v>3</v>
      </c>
      <c r="K29">
        <v>360000</v>
      </c>
    </row>
    <row r="30" spans="1:11" x14ac:dyDescent="0.3">
      <c r="A30" s="1">
        <v>43446</v>
      </c>
      <c r="B30">
        <v>2021</v>
      </c>
      <c r="C30" t="s">
        <v>52</v>
      </c>
      <c r="D30" t="s">
        <v>56</v>
      </c>
      <c r="E30" t="s">
        <v>26</v>
      </c>
      <c r="F30">
        <v>35.1</v>
      </c>
      <c r="G30" t="s">
        <v>46</v>
      </c>
      <c r="H30" t="s">
        <v>28</v>
      </c>
      <c r="I30">
        <v>52000</v>
      </c>
      <c r="J30">
        <v>1</v>
      </c>
      <c r="K30">
        <v>52000</v>
      </c>
    </row>
    <row r="31" spans="1:11" x14ac:dyDescent="0.3">
      <c r="A31" s="1">
        <v>45109</v>
      </c>
      <c r="B31">
        <v>1998</v>
      </c>
      <c r="C31" t="s">
        <v>33</v>
      </c>
      <c r="D31" t="s">
        <v>40</v>
      </c>
      <c r="E31" t="s">
        <v>45</v>
      </c>
      <c r="F31">
        <v>11.8</v>
      </c>
      <c r="G31" t="s">
        <v>23</v>
      </c>
      <c r="H31" t="s">
        <v>28</v>
      </c>
      <c r="I31">
        <v>47000</v>
      </c>
      <c r="J31">
        <v>5</v>
      </c>
      <c r="K31">
        <v>235000</v>
      </c>
    </row>
    <row r="32" spans="1:11" x14ac:dyDescent="0.3">
      <c r="A32" s="1">
        <v>43334</v>
      </c>
      <c r="B32">
        <v>2017</v>
      </c>
      <c r="C32" t="s">
        <v>55</v>
      </c>
      <c r="D32" t="s">
        <v>56</v>
      </c>
      <c r="E32" t="s">
        <v>53</v>
      </c>
      <c r="F32">
        <v>31.6</v>
      </c>
      <c r="G32" t="s">
        <v>51</v>
      </c>
      <c r="H32" t="s">
        <v>15</v>
      </c>
      <c r="I32">
        <v>28000</v>
      </c>
      <c r="J32">
        <v>5</v>
      </c>
      <c r="K32">
        <v>140000</v>
      </c>
    </row>
    <row r="33" spans="1:11" x14ac:dyDescent="0.3">
      <c r="A33" s="1">
        <v>45355</v>
      </c>
      <c r="B33">
        <v>2000</v>
      </c>
      <c r="C33" t="s">
        <v>68</v>
      </c>
      <c r="D33" t="s">
        <v>40</v>
      </c>
      <c r="E33" t="s">
        <v>26</v>
      </c>
      <c r="F33">
        <v>13</v>
      </c>
      <c r="G33" t="s">
        <v>19</v>
      </c>
      <c r="H33" t="s">
        <v>15</v>
      </c>
      <c r="I33">
        <v>23000</v>
      </c>
      <c r="J33">
        <v>5</v>
      </c>
      <c r="K33">
        <v>115000</v>
      </c>
    </row>
    <row r="34" spans="1:11" x14ac:dyDescent="0.3">
      <c r="A34" s="1">
        <v>43434</v>
      </c>
      <c r="B34">
        <v>2018</v>
      </c>
      <c r="C34" t="s">
        <v>57</v>
      </c>
      <c r="D34" t="s">
        <v>17</v>
      </c>
      <c r="E34" t="s">
        <v>26</v>
      </c>
      <c r="F34">
        <v>36.799999999999997</v>
      </c>
      <c r="G34" t="s">
        <v>63</v>
      </c>
      <c r="H34" t="s">
        <v>28</v>
      </c>
      <c r="I34">
        <v>25000</v>
      </c>
      <c r="J34">
        <v>2</v>
      </c>
      <c r="K34">
        <v>50000</v>
      </c>
    </row>
    <row r="35" spans="1:11" x14ac:dyDescent="0.3">
      <c r="A35" s="1">
        <v>44545</v>
      </c>
      <c r="B35">
        <v>2007</v>
      </c>
      <c r="C35" t="s">
        <v>66</v>
      </c>
      <c r="D35" t="s">
        <v>30</v>
      </c>
      <c r="E35" t="s">
        <v>26</v>
      </c>
      <c r="F35">
        <v>24.1</v>
      </c>
      <c r="G35" t="s">
        <v>63</v>
      </c>
      <c r="H35" t="s">
        <v>28</v>
      </c>
      <c r="I35">
        <v>27000</v>
      </c>
      <c r="J35">
        <v>3</v>
      </c>
      <c r="K35">
        <v>81000</v>
      </c>
    </row>
    <row r="36" spans="1:11" x14ac:dyDescent="0.3">
      <c r="A36" s="1">
        <v>44628</v>
      </c>
      <c r="B36">
        <v>2015</v>
      </c>
      <c r="C36" t="s">
        <v>68</v>
      </c>
      <c r="D36" t="s">
        <v>12</v>
      </c>
      <c r="E36" t="s">
        <v>69</v>
      </c>
      <c r="F36">
        <v>33.1</v>
      </c>
      <c r="G36" t="s">
        <v>43</v>
      </c>
      <c r="H36" t="s">
        <v>28</v>
      </c>
      <c r="I36">
        <v>23000</v>
      </c>
      <c r="J36">
        <v>1</v>
      </c>
      <c r="K36">
        <v>23000</v>
      </c>
    </row>
    <row r="37" spans="1:11" x14ac:dyDescent="0.3">
      <c r="A37" s="1">
        <v>45584</v>
      </c>
      <c r="B37">
        <v>2003</v>
      </c>
      <c r="C37" t="s">
        <v>11</v>
      </c>
      <c r="D37" t="s">
        <v>17</v>
      </c>
      <c r="E37" t="s">
        <v>13</v>
      </c>
      <c r="F37">
        <v>15.7</v>
      </c>
      <c r="G37" t="s">
        <v>19</v>
      </c>
      <c r="H37" t="s">
        <v>28</v>
      </c>
      <c r="I37">
        <v>70000</v>
      </c>
      <c r="J37">
        <v>4</v>
      </c>
      <c r="K37">
        <v>280000</v>
      </c>
    </row>
    <row r="38" spans="1:11" x14ac:dyDescent="0.3">
      <c r="A38" s="1">
        <v>43654</v>
      </c>
      <c r="B38">
        <v>1996</v>
      </c>
      <c r="C38" t="s">
        <v>64</v>
      </c>
      <c r="D38" t="s">
        <v>62</v>
      </c>
      <c r="E38" t="s">
        <v>65</v>
      </c>
      <c r="F38">
        <v>11.5</v>
      </c>
      <c r="G38" t="s">
        <v>23</v>
      </c>
      <c r="H38" t="s">
        <v>15</v>
      </c>
      <c r="I38">
        <v>50000</v>
      </c>
      <c r="J38">
        <v>1</v>
      </c>
      <c r="K38">
        <v>50000</v>
      </c>
    </row>
    <row r="39" spans="1:11" x14ac:dyDescent="0.3">
      <c r="A39" s="1">
        <v>43357</v>
      </c>
      <c r="B39">
        <v>1996</v>
      </c>
      <c r="C39" t="s">
        <v>16</v>
      </c>
      <c r="D39" t="s">
        <v>40</v>
      </c>
      <c r="E39" t="s">
        <v>41</v>
      </c>
      <c r="F39">
        <v>10.9</v>
      </c>
      <c r="G39" t="s">
        <v>43</v>
      </c>
      <c r="H39" t="s">
        <v>28</v>
      </c>
      <c r="I39">
        <v>80000</v>
      </c>
      <c r="J39">
        <v>4</v>
      </c>
      <c r="K39">
        <v>320000</v>
      </c>
    </row>
    <row r="40" spans="1:11" x14ac:dyDescent="0.3">
      <c r="A40" s="1">
        <v>44267</v>
      </c>
      <c r="B40">
        <v>2024</v>
      </c>
      <c r="C40" t="s">
        <v>60</v>
      </c>
      <c r="D40" t="s">
        <v>17</v>
      </c>
      <c r="E40" t="s">
        <v>34</v>
      </c>
      <c r="F40">
        <v>37.9</v>
      </c>
      <c r="G40" t="s">
        <v>14</v>
      </c>
      <c r="H40" t="s">
        <v>15</v>
      </c>
      <c r="I40">
        <v>60000</v>
      </c>
      <c r="J40">
        <v>2</v>
      </c>
      <c r="K40">
        <v>120000</v>
      </c>
    </row>
    <row r="41" spans="1:11" x14ac:dyDescent="0.3">
      <c r="A41" s="1">
        <v>42331</v>
      </c>
      <c r="B41">
        <v>2002</v>
      </c>
      <c r="C41" t="s">
        <v>55</v>
      </c>
      <c r="D41" t="s">
        <v>62</v>
      </c>
      <c r="E41" t="s">
        <v>49</v>
      </c>
      <c r="F41">
        <v>15.7</v>
      </c>
      <c r="G41" t="s">
        <v>27</v>
      </c>
      <c r="H41" t="s">
        <v>15</v>
      </c>
      <c r="I41">
        <v>28000</v>
      </c>
      <c r="J41">
        <v>4</v>
      </c>
      <c r="K41">
        <v>112000</v>
      </c>
    </row>
    <row r="42" spans="1:11" x14ac:dyDescent="0.3">
      <c r="A42" s="1">
        <v>42817</v>
      </c>
      <c r="B42">
        <v>2001</v>
      </c>
      <c r="C42" t="s">
        <v>16</v>
      </c>
      <c r="D42" t="s">
        <v>56</v>
      </c>
      <c r="E42" t="s">
        <v>38</v>
      </c>
      <c r="F42">
        <v>14.3</v>
      </c>
      <c r="G42" t="s">
        <v>43</v>
      </c>
      <c r="H42" t="s">
        <v>15</v>
      </c>
      <c r="I42">
        <v>80000</v>
      </c>
      <c r="J42">
        <v>2</v>
      </c>
      <c r="K42">
        <v>160000</v>
      </c>
    </row>
    <row r="43" spans="1:11" x14ac:dyDescent="0.3">
      <c r="A43" s="1">
        <v>43013</v>
      </c>
      <c r="B43">
        <v>2018</v>
      </c>
      <c r="C43" t="s">
        <v>16</v>
      </c>
      <c r="D43" t="s">
        <v>21</v>
      </c>
      <c r="E43" t="s">
        <v>67</v>
      </c>
      <c r="F43">
        <v>31.5</v>
      </c>
      <c r="G43" t="s">
        <v>14</v>
      </c>
      <c r="H43" t="s">
        <v>15</v>
      </c>
      <c r="I43">
        <v>80000</v>
      </c>
      <c r="J43">
        <v>4</v>
      </c>
      <c r="K43">
        <v>320000</v>
      </c>
    </row>
    <row r="44" spans="1:11" x14ac:dyDescent="0.3">
      <c r="A44" s="1">
        <v>44604</v>
      </c>
      <c r="B44">
        <v>1998</v>
      </c>
      <c r="C44" t="s">
        <v>55</v>
      </c>
      <c r="D44" t="s">
        <v>48</v>
      </c>
      <c r="E44" t="s">
        <v>65</v>
      </c>
      <c r="F44">
        <v>15.7</v>
      </c>
      <c r="G44" t="s">
        <v>43</v>
      </c>
      <c r="H44" t="s">
        <v>15</v>
      </c>
      <c r="I44">
        <v>28000</v>
      </c>
      <c r="J44">
        <v>2</v>
      </c>
      <c r="K44">
        <v>56000</v>
      </c>
    </row>
    <row r="45" spans="1:11" x14ac:dyDescent="0.3">
      <c r="A45" s="1">
        <v>45547</v>
      </c>
      <c r="B45">
        <v>2013</v>
      </c>
      <c r="C45" t="s">
        <v>39</v>
      </c>
      <c r="D45" t="s">
        <v>62</v>
      </c>
      <c r="E45" t="s">
        <v>58</v>
      </c>
      <c r="F45">
        <v>28.8</v>
      </c>
      <c r="G45" t="s">
        <v>23</v>
      </c>
      <c r="H45" t="s">
        <v>28</v>
      </c>
      <c r="I45">
        <v>32000</v>
      </c>
      <c r="J45">
        <v>2</v>
      </c>
      <c r="K45">
        <v>64000</v>
      </c>
    </row>
    <row r="46" spans="1:11" x14ac:dyDescent="0.3">
      <c r="A46" s="1">
        <v>44108</v>
      </c>
      <c r="B46">
        <v>2019</v>
      </c>
      <c r="C46" t="s">
        <v>33</v>
      </c>
      <c r="D46" t="s">
        <v>21</v>
      </c>
      <c r="E46" t="s">
        <v>49</v>
      </c>
      <c r="F46">
        <v>37.799999999999997</v>
      </c>
      <c r="G46" t="s">
        <v>32</v>
      </c>
      <c r="H46" t="s">
        <v>15</v>
      </c>
      <c r="I46">
        <v>47000</v>
      </c>
      <c r="J46">
        <v>2</v>
      </c>
      <c r="K46">
        <v>94000</v>
      </c>
    </row>
    <row r="47" spans="1:11" x14ac:dyDescent="0.3">
      <c r="A47" s="1">
        <v>42212</v>
      </c>
      <c r="B47">
        <v>2008</v>
      </c>
      <c r="C47" t="s">
        <v>35</v>
      </c>
      <c r="D47" t="s">
        <v>40</v>
      </c>
      <c r="E47" t="s">
        <v>49</v>
      </c>
      <c r="F47">
        <v>22.9</v>
      </c>
      <c r="G47" t="s">
        <v>43</v>
      </c>
      <c r="H47" t="s">
        <v>15</v>
      </c>
      <c r="I47">
        <v>140000</v>
      </c>
      <c r="J47">
        <v>4</v>
      </c>
      <c r="K47">
        <v>560000</v>
      </c>
    </row>
    <row r="48" spans="1:11" x14ac:dyDescent="0.3">
      <c r="A48" s="1">
        <v>43332</v>
      </c>
      <c r="B48">
        <v>2022</v>
      </c>
      <c r="C48" t="s">
        <v>50</v>
      </c>
      <c r="D48" t="s">
        <v>56</v>
      </c>
      <c r="E48" t="s">
        <v>18</v>
      </c>
      <c r="F48">
        <v>38</v>
      </c>
      <c r="G48" t="s">
        <v>43</v>
      </c>
      <c r="H48" t="s">
        <v>15</v>
      </c>
      <c r="I48">
        <v>160000</v>
      </c>
      <c r="J48">
        <v>4</v>
      </c>
      <c r="K48">
        <v>640000</v>
      </c>
    </row>
    <row r="49" spans="1:11" x14ac:dyDescent="0.3">
      <c r="A49" s="1">
        <v>44592</v>
      </c>
      <c r="B49">
        <v>2003</v>
      </c>
      <c r="C49" t="s">
        <v>50</v>
      </c>
      <c r="D49" t="s">
        <v>12</v>
      </c>
      <c r="E49" t="s">
        <v>53</v>
      </c>
      <c r="F49">
        <v>17.899999999999999</v>
      </c>
      <c r="G49" t="s">
        <v>14</v>
      </c>
      <c r="H49" t="s">
        <v>28</v>
      </c>
      <c r="I49">
        <v>160000</v>
      </c>
      <c r="J49">
        <v>5</v>
      </c>
      <c r="K49">
        <v>800000</v>
      </c>
    </row>
    <row r="50" spans="1:11" x14ac:dyDescent="0.3">
      <c r="A50" s="1">
        <v>44206</v>
      </c>
      <c r="B50">
        <v>2015</v>
      </c>
      <c r="C50" t="s">
        <v>44</v>
      </c>
      <c r="D50" t="s">
        <v>62</v>
      </c>
      <c r="E50" t="s">
        <v>22</v>
      </c>
      <c r="F50">
        <v>31.1</v>
      </c>
      <c r="G50" t="s">
        <v>14</v>
      </c>
      <c r="H50" t="s">
        <v>15</v>
      </c>
      <c r="I50">
        <v>180000</v>
      </c>
      <c r="J50">
        <v>1</v>
      </c>
      <c r="K50">
        <v>180000</v>
      </c>
    </row>
    <row r="51" spans="1:11" x14ac:dyDescent="0.3">
      <c r="A51" s="1">
        <v>44389</v>
      </c>
      <c r="B51">
        <v>2012</v>
      </c>
      <c r="C51" t="s">
        <v>35</v>
      </c>
      <c r="D51" t="s">
        <v>12</v>
      </c>
      <c r="E51" t="s">
        <v>67</v>
      </c>
      <c r="F51">
        <v>26</v>
      </c>
      <c r="G51" t="s">
        <v>32</v>
      </c>
      <c r="H51" t="s">
        <v>15</v>
      </c>
      <c r="I51">
        <v>140000</v>
      </c>
      <c r="J51">
        <v>5</v>
      </c>
      <c r="K51">
        <v>700000</v>
      </c>
    </row>
    <row r="52" spans="1:11" x14ac:dyDescent="0.3">
      <c r="A52" s="1">
        <v>42193</v>
      </c>
      <c r="B52">
        <v>2011</v>
      </c>
      <c r="C52" t="s">
        <v>35</v>
      </c>
      <c r="D52" t="s">
        <v>12</v>
      </c>
      <c r="E52" t="s">
        <v>70</v>
      </c>
      <c r="F52">
        <v>28.1</v>
      </c>
      <c r="G52" t="s">
        <v>14</v>
      </c>
      <c r="H52" t="s">
        <v>15</v>
      </c>
      <c r="I52">
        <v>140000</v>
      </c>
      <c r="J52">
        <v>2</v>
      </c>
      <c r="K52">
        <v>280000</v>
      </c>
    </row>
    <row r="53" spans="1:11" x14ac:dyDescent="0.3">
      <c r="A53" s="1">
        <v>44987</v>
      </c>
      <c r="B53">
        <v>1990</v>
      </c>
      <c r="C53" t="s">
        <v>33</v>
      </c>
      <c r="D53" t="s">
        <v>17</v>
      </c>
      <c r="E53" t="s">
        <v>58</v>
      </c>
      <c r="F53">
        <v>7.1</v>
      </c>
      <c r="G53" t="s">
        <v>46</v>
      </c>
      <c r="H53" t="s">
        <v>28</v>
      </c>
      <c r="I53">
        <v>47000</v>
      </c>
      <c r="J53">
        <v>4</v>
      </c>
      <c r="K53">
        <v>188000</v>
      </c>
    </row>
    <row r="54" spans="1:11" x14ac:dyDescent="0.3">
      <c r="A54" s="1">
        <v>44066</v>
      </c>
      <c r="B54">
        <v>2019</v>
      </c>
      <c r="C54" t="s">
        <v>66</v>
      </c>
      <c r="D54" t="s">
        <v>30</v>
      </c>
      <c r="E54" t="s">
        <v>42</v>
      </c>
      <c r="F54">
        <v>37.5</v>
      </c>
      <c r="G54" t="s">
        <v>27</v>
      </c>
      <c r="H54" t="s">
        <v>15</v>
      </c>
      <c r="I54">
        <v>27000</v>
      </c>
      <c r="J54">
        <v>3</v>
      </c>
      <c r="K54">
        <v>81000</v>
      </c>
    </row>
    <row r="55" spans="1:11" x14ac:dyDescent="0.3">
      <c r="A55" s="1">
        <v>44657</v>
      </c>
      <c r="B55">
        <v>2021</v>
      </c>
      <c r="C55" t="s">
        <v>71</v>
      </c>
      <c r="D55" t="s">
        <v>17</v>
      </c>
      <c r="E55" t="s">
        <v>69</v>
      </c>
      <c r="F55">
        <v>34</v>
      </c>
      <c r="G55" t="s">
        <v>14</v>
      </c>
      <c r="H55" t="s">
        <v>15</v>
      </c>
      <c r="I55">
        <v>26000</v>
      </c>
      <c r="J55">
        <v>2</v>
      </c>
      <c r="K55">
        <v>52000</v>
      </c>
    </row>
    <row r="56" spans="1:11" x14ac:dyDescent="0.3">
      <c r="A56" s="1">
        <v>42488</v>
      </c>
      <c r="B56">
        <v>2009</v>
      </c>
      <c r="C56" t="s">
        <v>29</v>
      </c>
      <c r="D56" t="s">
        <v>30</v>
      </c>
      <c r="E56" t="s">
        <v>34</v>
      </c>
      <c r="F56">
        <v>23.9</v>
      </c>
      <c r="G56" t="s">
        <v>27</v>
      </c>
      <c r="H56" t="s">
        <v>28</v>
      </c>
      <c r="I56">
        <v>24000</v>
      </c>
      <c r="J56">
        <v>3</v>
      </c>
      <c r="K56">
        <v>72000</v>
      </c>
    </row>
    <row r="57" spans="1:11" x14ac:dyDescent="0.3">
      <c r="A57" s="1">
        <v>43225</v>
      </c>
      <c r="B57">
        <v>1996</v>
      </c>
      <c r="C57" t="s">
        <v>66</v>
      </c>
      <c r="D57" t="s">
        <v>30</v>
      </c>
      <c r="E57" t="s">
        <v>38</v>
      </c>
      <c r="F57">
        <v>12.4</v>
      </c>
      <c r="G57" t="s">
        <v>63</v>
      </c>
      <c r="H57" t="s">
        <v>28</v>
      </c>
      <c r="I57">
        <v>27000</v>
      </c>
      <c r="J57">
        <v>5</v>
      </c>
      <c r="K57">
        <v>135000</v>
      </c>
    </row>
    <row r="58" spans="1:11" x14ac:dyDescent="0.3">
      <c r="A58" s="1">
        <v>43667</v>
      </c>
      <c r="B58">
        <v>2011</v>
      </c>
      <c r="C58" t="s">
        <v>61</v>
      </c>
      <c r="D58" t="s">
        <v>17</v>
      </c>
      <c r="E58" t="s">
        <v>26</v>
      </c>
      <c r="F58">
        <v>26.4</v>
      </c>
      <c r="G58" t="s">
        <v>63</v>
      </c>
      <c r="H58" t="s">
        <v>15</v>
      </c>
      <c r="I58">
        <v>30000</v>
      </c>
      <c r="J58">
        <v>3</v>
      </c>
      <c r="K58">
        <v>90000</v>
      </c>
    </row>
    <row r="59" spans="1:11" x14ac:dyDescent="0.3">
      <c r="A59" s="1">
        <v>45541</v>
      </c>
      <c r="B59">
        <v>2008</v>
      </c>
      <c r="C59" t="s">
        <v>64</v>
      </c>
      <c r="D59" t="s">
        <v>62</v>
      </c>
      <c r="E59" t="s">
        <v>26</v>
      </c>
      <c r="F59">
        <v>21</v>
      </c>
      <c r="G59" t="s">
        <v>27</v>
      </c>
      <c r="H59" t="s">
        <v>28</v>
      </c>
      <c r="I59">
        <v>50000</v>
      </c>
      <c r="J59">
        <v>1</v>
      </c>
      <c r="K59">
        <v>50000</v>
      </c>
    </row>
    <row r="60" spans="1:11" x14ac:dyDescent="0.3">
      <c r="A60" s="1">
        <v>43585</v>
      </c>
      <c r="B60">
        <v>1999</v>
      </c>
      <c r="C60" t="s">
        <v>57</v>
      </c>
      <c r="D60" t="s">
        <v>48</v>
      </c>
      <c r="E60" t="s">
        <v>53</v>
      </c>
      <c r="F60">
        <v>11.8</v>
      </c>
      <c r="G60" t="s">
        <v>46</v>
      </c>
      <c r="H60" t="s">
        <v>15</v>
      </c>
      <c r="I60">
        <v>25000</v>
      </c>
      <c r="J60">
        <v>5</v>
      </c>
      <c r="K60">
        <v>125000</v>
      </c>
    </row>
    <row r="61" spans="1:11" x14ac:dyDescent="0.3">
      <c r="A61" s="1">
        <v>43292</v>
      </c>
      <c r="B61">
        <v>1996</v>
      </c>
      <c r="C61" t="s">
        <v>64</v>
      </c>
      <c r="D61" t="s">
        <v>30</v>
      </c>
      <c r="E61" t="s">
        <v>47</v>
      </c>
      <c r="F61">
        <v>13</v>
      </c>
      <c r="G61" t="s">
        <v>19</v>
      </c>
      <c r="H61" t="s">
        <v>28</v>
      </c>
      <c r="I61">
        <v>50000</v>
      </c>
      <c r="J61">
        <v>1</v>
      </c>
      <c r="K61">
        <v>50000</v>
      </c>
    </row>
    <row r="62" spans="1:11" x14ac:dyDescent="0.3">
      <c r="A62" s="1">
        <v>44865</v>
      </c>
      <c r="B62">
        <v>2023</v>
      </c>
      <c r="C62" t="s">
        <v>71</v>
      </c>
      <c r="D62" t="s">
        <v>21</v>
      </c>
      <c r="E62" t="s">
        <v>47</v>
      </c>
      <c r="F62">
        <v>40</v>
      </c>
      <c r="G62" t="s">
        <v>54</v>
      </c>
      <c r="H62" t="s">
        <v>28</v>
      </c>
      <c r="I62">
        <v>26000</v>
      </c>
      <c r="J62">
        <v>2</v>
      </c>
      <c r="K62">
        <v>52000</v>
      </c>
    </row>
    <row r="63" spans="1:11" x14ac:dyDescent="0.3">
      <c r="A63" s="1">
        <v>42206</v>
      </c>
      <c r="B63">
        <v>2010</v>
      </c>
      <c r="C63" t="s">
        <v>16</v>
      </c>
      <c r="D63" t="s">
        <v>36</v>
      </c>
      <c r="E63" t="s">
        <v>42</v>
      </c>
      <c r="F63">
        <v>23.5</v>
      </c>
      <c r="G63" t="s">
        <v>46</v>
      </c>
      <c r="H63" t="s">
        <v>15</v>
      </c>
      <c r="I63">
        <v>80000</v>
      </c>
      <c r="J63">
        <v>5</v>
      </c>
      <c r="K63">
        <v>400000</v>
      </c>
    </row>
    <row r="64" spans="1:11" x14ac:dyDescent="0.3">
      <c r="A64" s="1">
        <v>43184</v>
      </c>
      <c r="B64">
        <v>1991</v>
      </c>
      <c r="C64" t="s">
        <v>33</v>
      </c>
      <c r="D64" t="s">
        <v>12</v>
      </c>
      <c r="E64" t="s">
        <v>45</v>
      </c>
      <c r="F64">
        <v>5.3</v>
      </c>
      <c r="G64" t="s">
        <v>23</v>
      </c>
      <c r="H64" t="s">
        <v>15</v>
      </c>
      <c r="I64">
        <v>47000</v>
      </c>
      <c r="J64">
        <v>3</v>
      </c>
      <c r="K64">
        <v>141000</v>
      </c>
    </row>
    <row r="65" spans="1:11" x14ac:dyDescent="0.3">
      <c r="A65" s="1">
        <v>45552</v>
      </c>
      <c r="B65">
        <v>2006</v>
      </c>
      <c r="C65" t="s">
        <v>71</v>
      </c>
      <c r="D65" t="s">
        <v>30</v>
      </c>
      <c r="E65" t="s">
        <v>67</v>
      </c>
      <c r="F65">
        <v>21.8</v>
      </c>
      <c r="G65" t="s">
        <v>43</v>
      </c>
      <c r="H65" t="s">
        <v>28</v>
      </c>
      <c r="I65">
        <v>26000</v>
      </c>
      <c r="J65">
        <v>2</v>
      </c>
      <c r="K65">
        <v>52000</v>
      </c>
    </row>
    <row r="66" spans="1:11" x14ac:dyDescent="0.3">
      <c r="A66" s="1">
        <v>43599</v>
      </c>
      <c r="B66">
        <v>1992</v>
      </c>
      <c r="C66" t="s">
        <v>61</v>
      </c>
      <c r="D66" t="s">
        <v>17</v>
      </c>
      <c r="E66" t="s">
        <v>22</v>
      </c>
      <c r="F66">
        <v>9.1999999999999993</v>
      </c>
      <c r="G66" t="s">
        <v>43</v>
      </c>
      <c r="H66" t="s">
        <v>15</v>
      </c>
      <c r="I66">
        <v>30000</v>
      </c>
      <c r="J66">
        <v>2</v>
      </c>
      <c r="K66">
        <v>60000</v>
      </c>
    </row>
    <row r="67" spans="1:11" x14ac:dyDescent="0.3">
      <c r="A67" s="1">
        <v>42262</v>
      </c>
      <c r="B67">
        <v>1990</v>
      </c>
      <c r="C67" t="s">
        <v>66</v>
      </c>
      <c r="D67" t="s">
        <v>25</v>
      </c>
      <c r="E67" t="s">
        <v>69</v>
      </c>
      <c r="F67">
        <v>3.9</v>
      </c>
      <c r="G67" t="s">
        <v>32</v>
      </c>
      <c r="H67" t="s">
        <v>15</v>
      </c>
      <c r="I67">
        <v>27000</v>
      </c>
      <c r="J67">
        <v>4</v>
      </c>
      <c r="K67">
        <v>108000</v>
      </c>
    </row>
    <row r="68" spans="1:11" x14ac:dyDescent="0.3">
      <c r="A68" s="1">
        <v>42605</v>
      </c>
      <c r="B68">
        <v>2019</v>
      </c>
      <c r="C68" t="s">
        <v>61</v>
      </c>
      <c r="D68" t="s">
        <v>36</v>
      </c>
      <c r="E68" t="s">
        <v>53</v>
      </c>
      <c r="F68">
        <v>35</v>
      </c>
      <c r="G68" t="s">
        <v>46</v>
      </c>
      <c r="H68" t="s">
        <v>28</v>
      </c>
      <c r="I68">
        <v>30000</v>
      </c>
      <c r="J68">
        <v>3</v>
      </c>
      <c r="K68">
        <v>90000</v>
      </c>
    </row>
    <row r="69" spans="1:11" x14ac:dyDescent="0.3">
      <c r="A69" s="1">
        <v>43518</v>
      </c>
      <c r="B69">
        <v>2008</v>
      </c>
      <c r="C69" t="s">
        <v>44</v>
      </c>
      <c r="D69" t="s">
        <v>21</v>
      </c>
      <c r="E69" t="s">
        <v>47</v>
      </c>
      <c r="F69">
        <v>23.8</v>
      </c>
      <c r="G69" t="s">
        <v>32</v>
      </c>
      <c r="H69" t="s">
        <v>28</v>
      </c>
      <c r="I69">
        <v>180000</v>
      </c>
      <c r="J69">
        <v>1</v>
      </c>
      <c r="K69">
        <v>180000</v>
      </c>
    </row>
    <row r="70" spans="1:11" x14ac:dyDescent="0.3">
      <c r="A70" s="1">
        <v>43202</v>
      </c>
      <c r="B70">
        <v>1998</v>
      </c>
      <c r="C70" t="s">
        <v>11</v>
      </c>
      <c r="D70" t="s">
        <v>25</v>
      </c>
      <c r="E70" t="s">
        <v>34</v>
      </c>
      <c r="F70">
        <v>11.4</v>
      </c>
      <c r="G70" t="s">
        <v>27</v>
      </c>
      <c r="H70" t="s">
        <v>15</v>
      </c>
      <c r="I70">
        <v>70000</v>
      </c>
      <c r="J70">
        <v>2</v>
      </c>
      <c r="K70">
        <v>140000</v>
      </c>
    </row>
    <row r="71" spans="1:11" x14ac:dyDescent="0.3">
      <c r="A71" s="1">
        <v>44148</v>
      </c>
      <c r="B71">
        <v>1997</v>
      </c>
      <c r="C71" t="s">
        <v>59</v>
      </c>
      <c r="D71" t="s">
        <v>30</v>
      </c>
      <c r="E71" t="s">
        <v>42</v>
      </c>
      <c r="F71">
        <v>12.5</v>
      </c>
      <c r="G71" t="s">
        <v>19</v>
      </c>
      <c r="H71" t="s">
        <v>15</v>
      </c>
      <c r="I71">
        <v>120000</v>
      </c>
      <c r="J71">
        <v>2</v>
      </c>
      <c r="K71">
        <v>240000</v>
      </c>
    </row>
    <row r="72" spans="1:11" x14ac:dyDescent="0.3">
      <c r="A72" s="1">
        <v>42965</v>
      </c>
      <c r="B72">
        <v>1996</v>
      </c>
      <c r="C72" t="s">
        <v>37</v>
      </c>
      <c r="D72" t="s">
        <v>56</v>
      </c>
      <c r="E72" t="s">
        <v>26</v>
      </c>
      <c r="F72">
        <v>8.5</v>
      </c>
      <c r="G72" t="s">
        <v>51</v>
      </c>
      <c r="H72" t="s">
        <v>28</v>
      </c>
      <c r="I72">
        <v>29000</v>
      </c>
      <c r="J72">
        <v>4</v>
      </c>
      <c r="K72">
        <v>116000</v>
      </c>
    </row>
    <row r="73" spans="1:11" x14ac:dyDescent="0.3">
      <c r="A73" s="1">
        <v>44471</v>
      </c>
      <c r="B73">
        <v>2006</v>
      </c>
      <c r="C73" t="s">
        <v>68</v>
      </c>
      <c r="D73" t="s">
        <v>21</v>
      </c>
      <c r="E73" t="s">
        <v>41</v>
      </c>
      <c r="F73">
        <v>22.2</v>
      </c>
      <c r="G73" t="s">
        <v>46</v>
      </c>
      <c r="H73" t="s">
        <v>28</v>
      </c>
      <c r="I73">
        <v>23000</v>
      </c>
      <c r="J73">
        <v>1</v>
      </c>
      <c r="K73">
        <v>23000</v>
      </c>
    </row>
    <row r="74" spans="1:11" x14ac:dyDescent="0.3">
      <c r="A74" s="1">
        <v>42998</v>
      </c>
      <c r="B74">
        <v>2008</v>
      </c>
      <c r="C74" t="s">
        <v>24</v>
      </c>
      <c r="D74" t="s">
        <v>25</v>
      </c>
      <c r="E74" t="s">
        <v>45</v>
      </c>
      <c r="F74">
        <v>25.4</v>
      </c>
      <c r="G74" t="s">
        <v>14</v>
      </c>
      <c r="H74" t="s">
        <v>15</v>
      </c>
      <c r="I74">
        <v>45000</v>
      </c>
      <c r="J74">
        <v>4</v>
      </c>
      <c r="K74">
        <v>180000</v>
      </c>
    </row>
    <row r="75" spans="1:11" x14ac:dyDescent="0.3">
      <c r="A75" s="1">
        <v>43364</v>
      </c>
      <c r="B75">
        <v>2016</v>
      </c>
      <c r="C75" t="s">
        <v>71</v>
      </c>
      <c r="D75" t="s">
        <v>62</v>
      </c>
      <c r="E75" t="s">
        <v>31</v>
      </c>
      <c r="F75">
        <v>29.4</v>
      </c>
      <c r="G75" t="s">
        <v>46</v>
      </c>
      <c r="H75" t="s">
        <v>28</v>
      </c>
      <c r="I75">
        <v>26000</v>
      </c>
      <c r="J75">
        <v>2</v>
      </c>
      <c r="K75">
        <v>52000</v>
      </c>
    </row>
    <row r="76" spans="1:11" x14ac:dyDescent="0.3">
      <c r="A76" s="1">
        <v>44400</v>
      </c>
      <c r="B76">
        <v>2006</v>
      </c>
      <c r="C76" t="s">
        <v>44</v>
      </c>
      <c r="D76" t="s">
        <v>30</v>
      </c>
      <c r="E76" t="s">
        <v>18</v>
      </c>
      <c r="F76">
        <v>22.6</v>
      </c>
      <c r="G76" t="s">
        <v>54</v>
      </c>
      <c r="H76" t="s">
        <v>28</v>
      </c>
      <c r="I76">
        <v>180000</v>
      </c>
      <c r="J76">
        <v>2</v>
      </c>
      <c r="K76">
        <v>360000</v>
      </c>
    </row>
    <row r="77" spans="1:11" x14ac:dyDescent="0.3">
      <c r="A77" s="1">
        <v>44118</v>
      </c>
      <c r="B77">
        <v>2013</v>
      </c>
      <c r="C77" t="s">
        <v>37</v>
      </c>
      <c r="D77" t="s">
        <v>12</v>
      </c>
      <c r="E77" t="s">
        <v>65</v>
      </c>
      <c r="F77">
        <v>28.7</v>
      </c>
      <c r="G77" t="s">
        <v>27</v>
      </c>
      <c r="H77" t="s">
        <v>15</v>
      </c>
      <c r="I77">
        <v>29000</v>
      </c>
      <c r="J77">
        <v>3</v>
      </c>
      <c r="K77">
        <v>87000</v>
      </c>
    </row>
    <row r="78" spans="1:11" x14ac:dyDescent="0.3">
      <c r="A78" s="1">
        <v>44602</v>
      </c>
      <c r="B78">
        <v>2014</v>
      </c>
      <c r="C78" t="s">
        <v>37</v>
      </c>
      <c r="D78" t="s">
        <v>25</v>
      </c>
      <c r="E78" t="s">
        <v>47</v>
      </c>
      <c r="F78">
        <v>31.4</v>
      </c>
      <c r="G78" t="s">
        <v>14</v>
      </c>
      <c r="H78" t="s">
        <v>28</v>
      </c>
      <c r="I78">
        <v>29000</v>
      </c>
      <c r="J78">
        <v>3</v>
      </c>
      <c r="K78">
        <v>87000</v>
      </c>
    </row>
    <row r="79" spans="1:11" x14ac:dyDescent="0.3">
      <c r="A79" s="1">
        <v>43429</v>
      </c>
      <c r="B79">
        <v>2010</v>
      </c>
      <c r="C79" t="s">
        <v>24</v>
      </c>
      <c r="D79" t="s">
        <v>36</v>
      </c>
      <c r="E79" t="s">
        <v>13</v>
      </c>
      <c r="F79">
        <v>28</v>
      </c>
      <c r="G79" t="s">
        <v>51</v>
      </c>
      <c r="H79" t="s">
        <v>28</v>
      </c>
      <c r="I79">
        <v>45000</v>
      </c>
      <c r="J79">
        <v>3</v>
      </c>
      <c r="K79">
        <v>135000</v>
      </c>
    </row>
    <row r="80" spans="1:11" x14ac:dyDescent="0.3">
      <c r="A80" s="1">
        <v>45652</v>
      </c>
      <c r="B80">
        <v>2018</v>
      </c>
      <c r="C80" t="s">
        <v>29</v>
      </c>
      <c r="D80" t="s">
        <v>56</v>
      </c>
      <c r="E80" t="s">
        <v>13</v>
      </c>
      <c r="F80">
        <v>36</v>
      </c>
      <c r="G80" t="s">
        <v>46</v>
      </c>
      <c r="H80" t="s">
        <v>15</v>
      </c>
      <c r="I80">
        <v>24000</v>
      </c>
      <c r="J80">
        <v>5</v>
      </c>
      <c r="K80">
        <v>120000</v>
      </c>
    </row>
    <row r="81" spans="1:11" x14ac:dyDescent="0.3">
      <c r="A81" s="1">
        <v>43540</v>
      </c>
      <c r="B81">
        <v>1996</v>
      </c>
      <c r="C81" t="s">
        <v>29</v>
      </c>
      <c r="D81" t="s">
        <v>40</v>
      </c>
      <c r="E81" t="s">
        <v>31</v>
      </c>
      <c r="F81">
        <v>10.4</v>
      </c>
      <c r="G81" t="s">
        <v>54</v>
      </c>
      <c r="H81" t="s">
        <v>28</v>
      </c>
      <c r="I81">
        <v>24000</v>
      </c>
      <c r="J81">
        <v>2</v>
      </c>
      <c r="K81">
        <v>48000</v>
      </c>
    </row>
    <row r="82" spans="1:11" x14ac:dyDescent="0.3">
      <c r="A82" s="1">
        <v>45664</v>
      </c>
      <c r="B82">
        <v>1998</v>
      </c>
      <c r="C82" t="s">
        <v>71</v>
      </c>
      <c r="D82" t="s">
        <v>30</v>
      </c>
      <c r="E82" t="s">
        <v>26</v>
      </c>
      <c r="F82">
        <v>14.1</v>
      </c>
      <c r="G82" t="s">
        <v>32</v>
      </c>
      <c r="H82" t="s">
        <v>28</v>
      </c>
      <c r="I82">
        <v>26000</v>
      </c>
      <c r="J82">
        <v>4</v>
      </c>
      <c r="K82">
        <v>104000</v>
      </c>
    </row>
    <row r="83" spans="1:11" x14ac:dyDescent="0.3">
      <c r="A83" s="1">
        <v>43709</v>
      </c>
      <c r="B83">
        <v>2011</v>
      </c>
      <c r="C83" t="s">
        <v>29</v>
      </c>
      <c r="D83" t="s">
        <v>56</v>
      </c>
      <c r="E83" t="s">
        <v>67</v>
      </c>
      <c r="F83">
        <v>28.4</v>
      </c>
      <c r="G83" t="s">
        <v>19</v>
      </c>
      <c r="H83" t="s">
        <v>28</v>
      </c>
      <c r="I83">
        <v>24000</v>
      </c>
      <c r="J83">
        <v>1</v>
      </c>
      <c r="K83">
        <v>24000</v>
      </c>
    </row>
    <row r="84" spans="1:11" x14ac:dyDescent="0.3">
      <c r="A84" s="1">
        <v>43158</v>
      </c>
      <c r="B84">
        <v>2020</v>
      </c>
      <c r="C84" t="s">
        <v>68</v>
      </c>
      <c r="D84" t="s">
        <v>40</v>
      </c>
      <c r="E84" t="s">
        <v>70</v>
      </c>
      <c r="F84">
        <v>38.200000000000003</v>
      </c>
      <c r="G84" t="s">
        <v>54</v>
      </c>
      <c r="H84" t="s">
        <v>15</v>
      </c>
      <c r="I84">
        <v>23000</v>
      </c>
      <c r="J84">
        <v>3</v>
      </c>
      <c r="K84">
        <v>69000</v>
      </c>
    </row>
    <row r="85" spans="1:11" x14ac:dyDescent="0.3">
      <c r="A85" s="1">
        <v>44560</v>
      </c>
      <c r="B85">
        <v>1990</v>
      </c>
      <c r="C85" t="s">
        <v>71</v>
      </c>
      <c r="D85" t="s">
        <v>48</v>
      </c>
      <c r="E85" t="s">
        <v>18</v>
      </c>
      <c r="F85">
        <v>5.8</v>
      </c>
      <c r="G85" t="s">
        <v>23</v>
      </c>
      <c r="H85" t="s">
        <v>15</v>
      </c>
      <c r="I85">
        <v>26000</v>
      </c>
      <c r="J85">
        <v>2</v>
      </c>
      <c r="K85">
        <v>52000</v>
      </c>
    </row>
    <row r="86" spans="1:11" x14ac:dyDescent="0.3">
      <c r="A86" s="1">
        <v>43340</v>
      </c>
      <c r="B86">
        <v>2018</v>
      </c>
      <c r="C86" t="s">
        <v>50</v>
      </c>
      <c r="D86" t="s">
        <v>12</v>
      </c>
      <c r="E86" t="s">
        <v>34</v>
      </c>
      <c r="F86">
        <v>31.6</v>
      </c>
      <c r="G86" t="s">
        <v>43</v>
      </c>
      <c r="H86" t="s">
        <v>15</v>
      </c>
      <c r="I86">
        <v>160000</v>
      </c>
      <c r="J86">
        <v>4</v>
      </c>
      <c r="K86">
        <v>640000</v>
      </c>
    </row>
    <row r="87" spans="1:11" x14ac:dyDescent="0.3">
      <c r="A87" s="1">
        <v>43342</v>
      </c>
      <c r="B87">
        <v>2023</v>
      </c>
      <c r="C87" t="s">
        <v>60</v>
      </c>
      <c r="D87" t="s">
        <v>17</v>
      </c>
      <c r="E87" t="s">
        <v>69</v>
      </c>
      <c r="F87">
        <v>38.4</v>
      </c>
      <c r="G87" t="s">
        <v>54</v>
      </c>
      <c r="H87" t="s">
        <v>28</v>
      </c>
      <c r="I87">
        <v>60000</v>
      </c>
      <c r="J87">
        <v>2</v>
      </c>
      <c r="K87">
        <v>120000</v>
      </c>
    </row>
    <row r="88" spans="1:11" x14ac:dyDescent="0.3">
      <c r="A88" s="1">
        <v>43273</v>
      </c>
      <c r="B88">
        <v>2009</v>
      </c>
      <c r="C88" t="s">
        <v>50</v>
      </c>
      <c r="D88" t="s">
        <v>30</v>
      </c>
      <c r="E88" t="s">
        <v>26</v>
      </c>
      <c r="F88">
        <v>26.7</v>
      </c>
      <c r="G88" t="s">
        <v>32</v>
      </c>
      <c r="H88" t="s">
        <v>15</v>
      </c>
      <c r="I88">
        <v>160000</v>
      </c>
      <c r="J88">
        <v>1</v>
      </c>
      <c r="K88">
        <v>160000</v>
      </c>
    </row>
    <row r="89" spans="1:11" x14ac:dyDescent="0.3">
      <c r="A89" s="1">
        <v>43604</v>
      </c>
      <c r="B89">
        <v>2007</v>
      </c>
      <c r="C89" t="s">
        <v>29</v>
      </c>
      <c r="D89" t="s">
        <v>17</v>
      </c>
      <c r="E89" t="s">
        <v>65</v>
      </c>
      <c r="F89">
        <v>22.1</v>
      </c>
      <c r="G89" t="s">
        <v>19</v>
      </c>
      <c r="H89" t="s">
        <v>15</v>
      </c>
      <c r="I89">
        <v>24000</v>
      </c>
      <c r="J89">
        <v>2</v>
      </c>
      <c r="K89">
        <v>48000</v>
      </c>
    </row>
    <row r="90" spans="1:11" x14ac:dyDescent="0.3">
      <c r="A90" s="1">
        <v>43249</v>
      </c>
      <c r="B90">
        <v>1994</v>
      </c>
      <c r="C90" t="s">
        <v>50</v>
      </c>
      <c r="D90" t="s">
        <v>62</v>
      </c>
      <c r="E90" t="s">
        <v>65</v>
      </c>
      <c r="F90">
        <v>11.7</v>
      </c>
      <c r="G90" t="s">
        <v>54</v>
      </c>
      <c r="H90" t="s">
        <v>15</v>
      </c>
      <c r="I90">
        <v>160000</v>
      </c>
      <c r="J90">
        <v>5</v>
      </c>
      <c r="K90">
        <v>800000</v>
      </c>
    </row>
    <row r="91" spans="1:11" x14ac:dyDescent="0.3">
      <c r="A91" s="1">
        <v>45282</v>
      </c>
      <c r="B91">
        <v>2018</v>
      </c>
      <c r="C91" t="s">
        <v>16</v>
      </c>
      <c r="D91" t="s">
        <v>17</v>
      </c>
      <c r="E91" t="s">
        <v>58</v>
      </c>
      <c r="F91">
        <v>31.6</v>
      </c>
      <c r="G91" t="s">
        <v>32</v>
      </c>
      <c r="H91" t="s">
        <v>15</v>
      </c>
      <c r="I91">
        <v>80000</v>
      </c>
      <c r="J91">
        <v>3</v>
      </c>
      <c r="K91">
        <v>240000</v>
      </c>
    </row>
    <row r="92" spans="1:11" x14ac:dyDescent="0.3">
      <c r="A92" s="1">
        <v>43911</v>
      </c>
      <c r="B92">
        <v>2002</v>
      </c>
      <c r="C92" t="s">
        <v>33</v>
      </c>
      <c r="D92" t="s">
        <v>21</v>
      </c>
      <c r="E92" t="s">
        <v>65</v>
      </c>
      <c r="F92">
        <v>17</v>
      </c>
      <c r="G92" t="s">
        <v>27</v>
      </c>
      <c r="H92" t="s">
        <v>28</v>
      </c>
      <c r="I92">
        <v>47000</v>
      </c>
      <c r="J92">
        <v>4</v>
      </c>
      <c r="K92">
        <v>188000</v>
      </c>
    </row>
    <row r="93" spans="1:11" x14ac:dyDescent="0.3">
      <c r="A93" s="1">
        <v>45402</v>
      </c>
      <c r="B93">
        <v>2003</v>
      </c>
      <c r="C93" t="s">
        <v>72</v>
      </c>
      <c r="D93" t="s">
        <v>17</v>
      </c>
      <c r="E93" t="s">
        <v>34</v>
      </c>
      <c r="F93">
        <v>17.100000000000001</v>
      </c>
      <c r="G93" t="s">
        <v>19</v>
      </c>
      <c r="H93" t="s">
        <v>15</v>
      </c>
      <c r="I93">
        <v>55000</v>
      </c>
      <c r="J93">
        <v>4</v>
      </c>
      <c r="K93">
        <v>220000</v>
      </c>
    </row>
    <row r="94" spans="1:11" x14ac:dyDescent="0.3">
      <c r="A94" s="1">
        <v>45767</v>
      </c>
      <c r="B94">
        <v>2008</v>
      </c>
      <c r="C94" t="s">
        <v>73</v>
      </c>
      <c r="D94" t="s">
        <v>21</v>
      </c>
      <c r="E94" t="s">
        <v>53</v>
      </c>
      <c r="F94">
        <v>25.3</v>
      </c>
      <c r="G94" t="s">
        <v>19</v>
      </c>
      <c r="H94" t="s">
        <v>28</v>
      </c>
      <c r="I94">
        <v>55000</v>
      </c>
      <c r="J94">
        <v>1</v>
      </c>
      <c r="K94">
        <v>55000</v>
      </c>
    </row>
    <row r="95" spans="1:11" x14ac:dyDescent="0.3">
      <c r="A95" s="1">
        <v>44430</v>
      </c>
      <c r="B95">
        <v>2004</v>
      </c>
      <c r="C95" t="s">
        <v>68</v>
      </c>
      <c r="D95" t="s">
        <v>56</v>
      </c>
      <c r="E95" t="s">
        <v>22</v>
      </c>
      <c r="F95">
        <v>21.1</v>
      </c>
      <c r="G95" t="s">
        <v>14</v>
      </c>
      <c r="H95" t="s">
        <v>28</v>
      </c>
      <c r="I95">
        <v>23000</v>
      </c>
      <c r="J95">
        <v>4</v>
      </c>
      <c r="K95">
        <v>92000</v>
      </c>
    </row>
    <row r="96" spans="1:11" x14ac:dyDescent="0.3">
      <c r="A96" s="1">
        <v>45051</v>
      </c>
      <c r="B96">
        <v>2011</v>
      </c>
      <c r="C96" t="s">
        <v>33</v>
      </c>
      <c r="D96" t="s">
        <v>17</v>
      </c>
      <c r="E96" t="s">
        <v>31</v>
      </c>
      <c r="F96">
        <v>28.8</v>
      </c>
      <c r="G96" t="s">
        <v>54</v>
      </c>
      <c r="H96" t="s">
        <v>28</v>
      </c>
      <c r="I96">
        <v>47000</v>
      </c>
      <c r="J96">
        <v>5</v>
      </c>
      <c r="K96">
        <v>235000</v>
      </c>
    </row>
    <row r="97" spans="1:11" x14ac:dyDescent="0.3">
      <c r="A97" s="1">
        <v>44956</v>
      </c>
      <c r="B97">
        <v>1990</v>
      </c>
      <c r="C97" t="s">
        <v>11</v>
      </c>
      <c r="D97" t="s">
        <v>36</v>
      </c>
      <c r="E97" t="s">
        <v>41</v>
      </c>
      <c r="F97">
        <v>3.1</v>
      </c>
      <c r="G97" t="s">
        <v>32</v>
      </c>
      <c r="H97" t="s">
        <v>28</v>
      </c>
      <c r="I97">
        <v>70000</v>
      </c>
      <c r="J97">
        <v>5</v>
      </c>
      <c r="K97">
        <v>350000</v>
      </c>
    </row>
    <row r="98" spans="1:11" x14ac:dyDescent="0.3">
      <c r="A98" s="1">
        <v>44523</v>
      </c>
      <c r="B98">
        <v>2004</v>
      </c>
      <c r="C98" t="s">
        <v>55</v>
      </c>
      <c r="D98" t="s">
        <v>36</v>
      </c>
      <c r="E98" t="s">
        <v>53</v>
      </c>
      <c r="F98">
        <v>19.600000000000001</v>
      </c>
      <c r="G98" t="s">
        <v>19</v>
      </c>
      <c r="H98" t="s">
        <v>28</v>
      </c>
      <c r="I98">
        <v>28000</v>
      </c>
      <c r="J98">
        <v>5</v>
      </c>
      <c r="K98">
        <v>140000</v>
      </c>
    </row>
    <row r="99" spans="1:11" x14ac:dyDescent="0.3">
      <c r="A99" s="1">
        <v>44472</v>
      </c>
      <c r="B99">
        <v>2023</v>
      </c>
      <c r="C99" t="s">
        <v>11</v>
      </c>
      <c r="D99" t="s">
        <v>21</v>
      </c>
      <c r="E99" t="s">
        <v>41</v>
      </c>
      <c r="F99">
        <v>41.3</v>
      </c>
      <c r="G99" t="s">
        <v>46</v>
      </c>
      <c r="H99" t="s">
        <v>15</v>
      </c>
      <c r="I99">
        <v>70000</v>
      </c>
      <c r="J99">
        <v>1</v>
      </c>
      <c r="K99">
        <v>70000</v>
      </c>
    </row>
    <row r="100" spans="1:11" x14ac:dyDescent="0.3">
      <c r="A100" s="1">
        <v>43091</v>
      </c>
      <c r="B100">
        <v>1994</v>
      </c>
      <c r="C100" t="s">
        <v>55</v>
      </c>
      <c r="D100" t="s">
        <v>48</v>
      </c>
      <c r="E100" t="s">
        <v>65</v>
      </c>
      <c r="F100">
        <v>7.7</v>
      </c>
      <c r="G100" t="s">
        <v>14</v>
      </c>
      <c r="H100" t="s">
        <v>15</v>
      </c>
      <c r="I100">
        <v>28000</v>
      </c>
      <c r="J100">
        <v>4</v>
      </c>
      <c r="K100">
        <v>112000</v>
      </c>
    </row>
    <row r="101" spans="1:11" x14ac:dyDescent="0.3">
      <c r="A101" s="1">
        <v>42540</v>
      </c>
      <c r="B101">
        <v>2009</v>
      </c>
      <c r="C101" t="s">
        <v>55</v>
      </c>
      <c r="D101" t="s">
        <v>30</v>
      </c>
      <c r="E101" t="s">
        <v>18</v>
      </c>
      <c r="F101">
        <v>24.9</v>
      </c>
      <c r="G101" t="s">
        <v>54</v>
      </c>
      <c r="H101" t="s">
        <v>15</v>
      </c>
      <c r="I101">
        <v>28000</v>
      </c>
      <c r="J101">
        <v>3</v>
      </c>
      <c r="K101">
        <v>84000</v>
      </c>
    </row>
    <row r="102" spans="1:11" x14ac:dyDescent="0.3">
      <c r="A102" s="1">
        <v>44483</v>
      </c>
      <c r="B102">
        <v>2012</v>
      </c>
      <c r="C102" t="s">
        <v>64</v>
      </c>
      <c r="D102" t="s">
        <v>21</v>
      </c>
      <c r="E102" t="s">
        <v>26</v>
      </c>
      <c r="F102">
        <v>27.5</v>
      </c>
      <c r="G102" t="s">
        <v>23</v>
      </c>
      <c r="H102" t="s">
        <v>28</v>
      </c>
      <c r="I102">
        <v>50000</v>
      </c>
      <c r="J102">
        <v>3</v>
      </c>
      <c r="K102">
        <v>150000</v>
      </c>
    </row>
    <row r="103" spans="1:11" x14ac:dyDescent="0.3">
      <c r="A103" s="1">
        <v>45577</v>
      </c>
      <c r="B103">
        <v>1994</v>
      </c>
      <c r="C103" t="s">
        <v>57</v>
      </c>
      <c r="D103" t="s">
        <v>17</v>
      </c>
      <c r="E103" t="s">
        <v>53</v>
      </c>
      <c r="F103">
        <v>6.9</v>
      </c>
      <c r="G103" t="s">
        <v>14</v>
      </c>
      <c r="H103" t="s">
        <v>15</v>
      </c>
      <c r="I103">
        <v>25000</v>
      </c>
      <c r="J103">
        <v>4</v>
      </c>
      <c r="K103">
        <v>100000</v>
      </c>
    </row>
    <row r="104" spans="1:11" x14ac:dyDescent="0.3">
      <c r="A104" s="1">
        <v>44319</v>
      </c>
      <c r="B104">
        <v>2023</v>
      </c>
      <c r="C104" t="s">
        <v>60</v>
      </c>
      <c r="D104" t="s">
        <v>25</v>
      </c>
      <c r="E104" t="s">
        <v>18</v>
      </c>
      <c r="F104">
        <v>38.1</v>
      </c>
      <c r="G104" t="s">
        <v>54</v>
      </c>
      <c r="H104" t="s">
        <v>15</v>
      </c>
      <c r="I104">
        <v>60000</v>
      </c>
      <c r="J104">
        <v>5</v>
      </c>
      <c r="K104">
        <v>300000</v>
      </c>
    </row>
    <row r="105" spans="1:11" x14ac:dyDescent="0.3">
      <c r="A105" s="1">
        <v>42628</v>
      </c>
      <c r="B105">
        <v>1994</v>
      </c>
      <c r="C105" t="s">
        <v>61</v>
      </c>
      <c r="D105" t="s">
        <v>12</v>
      </c>
      <c r="E105" t="s">
        <v>49</v>
      </c>
      <c r="F105">
        <v>12</v>
      </c>
      <c r="G105" t="s">
        <v>51</v>
      </c>
      <c r="H105" t="s">
        <v>15</v>
      </c>
      <c r="I105">
        <v>30000</v>
      </c>
      <c r="J105">
        <v>4</v>
      </c>
      <c r="K105">
        <v>120000</v>
      </c>
    </row>
    <row r="106" spans="1:11" x14ac:dyDescent="0.3">
      <c r="A106" s="1">
        <v>45696</v>
      </c>
      <c r="B106">
        <v>2013</v>
      </c>
      <c r="C106" t="s">
        <v>60</v>
      </c>
      <c r="D106" t="s">
        <v>21</v>
      </c>
      <c r="E106" t="s">
        <v>38</v>
      </c>
      <c r="F106">
        <v>31.2</v>
      </c>
      <c r="G106" t="s">
        <v>43</v>
      </c>
      <c r="H106" t="s">
        <v>28</v>
      </c>
      <c r="I106">
        <v>60000</v>
      </c>
      <c r="J106">
        <v>4</v>
      </c>
      <c r="K106">
        <v>240000</v>
      </c>
    </row>
    <row r="107" spans="1:11" x14ac:dyDescent="0.3">
      <c r="A107" s="1">
        <v>42214</v>
      </c>
      <c r="B107">
        <v>2016</v>
      </c>
      <c r="C107" t="s">
        <v>66</v>
      </c>
      <c r="D107" t="s">
        <v>36</v>
      </c>
      <c r="E107" t="s">
        <v>53</v>
      </c>
      <c r="F107">
        <v>31.2</v>
      </c>
      <c r="G107" t="s">
        <v>19</v>
      </c>
      <c r="H107" t="s">
        <v>15</v>
      </c>
      <c r="I107">
        <v>27000</v>
      </c>
      <c r="J107">
        <v>2</v>
      </c>
      <c r="K107">
        <v>54000</v>
      </c>
    </row>
    <row r="108" spans="1:11" x14ac:dyDescent="0.3">
      <c r="A108" s="1">
        <v>43851</v>
      </c>
      <c r="B108">
        <v>2009</v>
      </c>
      <c r="C108" t="s">
        <v>44</v>
      </c>
      <c r="D108" t="s">
        <v>17</v>
      </c>
      <c r="E108" t="s">
        <v>26</v>
      </c>
      <c r="F108">
        <v>27.2</v>
      </c>
      <c r="G108" t="s">
        <v>23</v>
      </c>
      <c r="H108" t="s">
        <v>15</v>
      </c>
      <c r="I108">
        <v>180000</v>
      </c>
      <c r="J108">
        <v>5</v>
      </c>
      <c r="K108">
        <v>900000</v>
      </c>
    </row>
    <row r="109" spans="1:11" x14ac:dyDescent="0.3">
      <c r="A109" s="1">
        <v>45435</v>
      </c>
      <c r="B109">
        <v>2010</v>
      </c>
      <c r="C109" t="s">
        <v>52</v>
      </c>
      <c r="D109" t="s">
        <v>40</v>
      </c>
      <c r="E109" t="s">
        <v>18</v>
      </c>
      <c r="F109">
        <v>28.1</v>
      </c>
      <c r="G109" t="s">
        <v>51</v>
      </c>
      <c r="H109" t="s">
        <v>15</v>
      </c>
      <c r="I109">
        <v>52000</v>
      </c>
      <c r="J109">
        <v>5</v>
      </c>
      <c r="K109">
        <v>260000</v>
      </c>
    </row>
    <row r="110" spans="1:11" x14ac:dyDescent="0.3">
      <c r="A110" s="1">
        <v>44512</v>
      </c>
      <c r="B110">
        <v>1997</v>
      </c>
      <c r="C110" t="s">
        <v>52</v>
      </c>
      <c r="D110" t="s">
        <v>56</v>
      </c>
      <c r="E110" t="s">
        <v>31</v>
      </c>
      <c r="F110">
        <v>10.9</v>
      </c>
      <c r="G110" t="s">
        <v>43</v>
      </c>
      <c r="H110" t="s">
        <v>28</v>
      </c>
      <c r="I110">
        <v>52000</v>
      </c>
      <c r="J110">
        <v>1</v>
      </c>
      <c r="K110">
        <v>52000</v>
      </c>
    </row>
    <row r="111" spans="1:11" x14ac:dyDescent="0.3">
      <c r="A111" s="1">
        <v>42842</v>
      </c>
      <c r="B111">
        <v>2017</v>
      </c>
      <c r="C111" t="s">
        <v>72</v>
      </c>
      <c r="D111" t="s">
        <v>56</v>
      </c>
      <c r="E111" t="s">
        <v>65</v>
      </c>
      <c r="F111">
        <v>29.9</v>
      </c>
      <c r="G111" t="s">
        <v>54</v>
      </c>
      <c r="H111" t="s">
        <v>15</v>
      </c>
      <c r="I111">
        <v>55000</v>
      </c>
      <c r="J111">
        <v>4</v>
      </c>
      <c r="K111">
        <v>220000</v>
      </c>
    </row>
    <row r="112" spans="1:11" x14ac:dyDescent="0.3">
      <c r="A112" s="1">
        <v>43941</v>
      </c>
      <c r="B112">
        <v>1998</v>
      </c>
      <c r="C112" t="s">
        <v>37</v>
      </c>
      <c r="D112" t="s">
        <v>48</v>
      </c>
      <c r="E112" t="s">
        <v>13</v>
      </c>
      <c r="F112">
        <v>15</v>
      </c>
      <c r="G112" t="s">
        <v>51</v>
      </c>
      <c r="H112" t="s">
        <v>28</v>
      </c>
      <c r="I112">
        <v>29000</v>
      </c>
      <c r="J112">
        <v>1</v>
      </c>
      <c r="K112">
        <v>29000</v>
      </c>
    </row>
    <row r="113" spans="1:11" x14ac:dyDescent="0.3">
      <c r="A113" s="1">
        <v>42578</v>
      </c>
      <c r="B113">
        <v>2007</v>
      </c>
      <c r="C113" t="s">
        <v>33</v>
      </c>
      <c r="D113" t="s">
        <v>21</v>
      </c>
      <c r="E113" t="s">
        <v>58</v>
      </c>
      <c r="F113">
        <v>19.899999999999999</v>
      </c>
      <c r="G113" t="s">
        <v>63</v>
      </c>
      <c r="H113" t="s">
        <v>15</v>
      </c>
      <c r="I113">
        <v>47000</v>
      </c>
      <c r="J113">
        <v>1</v>
      </c>
      <c r="K113">
        <v>47000</v>
      </c>
    </row>
    <row r="114" spans="1:11" x14ac:dyDescent="0.3">
      <c r="A114" s="1">
        <v>42562</v>
      </c>
      <c r="B114">
        <v>1998</v>
      </c>
      <c r="C114" t="s">
        <v>35</v>
      </c>
      <c r="D114" t="s">
        <v>48</v>
      </c>
      <c r="E114" t="s">
        <v>47</v>
      </c>
      <c r="F114">
        <v>13.5</v>
      </c>
      <c r="G114" t="s">
        <v>43</v>
      </c>
      <c r="H114" t="s">
        <v>28</v>
      </c>
      <c r="I114">
        <v>140000</v>
      </c>
      <c r="J114">
        <v>2</v>
      </c>
      <c r="K114">
        <v>280000</v>
      </c>
    </row>
    <row r="115" spans="1:11" x14ac:dyDescent="0.3">
      <c r="A115" s="1">
        <v>43314</v>
      </c>
      <c r="B115">
        <v>2019</v>
      </c>
      <c r="C115" t="s">
        <v>71</v>
      </c>
      <c r="D115" t="s">
        <v>36</v>
      </c>
      <c r="E115" t="s">
        <v>41</v>
      </c>
      <c r="F115">
        <v>33.799999999999997</v>
      </c>
      <c r="G115" t="s">
        <v>14</v>
      </c>
      <c r="H115" t="s">
        <v>15</v>
      </c>
      <c r="I115">
        <v>26000</v>
      </c>
      <c r="J115">
        <v>3</v>
      </c>
      <c r="K115">
        <v>78000</v>
      </c>
    </row>
    <row r="116" spans="1:11" x14ac:dyDescent="0.3">
      <c r="A116" s="1">
        <v>43394</v>
      </c>
      <c r="B116">
        <v>2003</v>
      </c>
      <c r="C116" t="s">
        <v>59</v>
      </c>
      <c r="D116" t="s">
        <v>48</v>
      </c>
      <c r="E116" t="s">
        <v>65</v>
      </c>
      <c r="F116">
        <v>18.8</v>
      </c>
      <c r="G116" t="s">
        <v>54</v>
      </c>
      <c r="H116" t="s">
        <v>15</v>
      </c>
      <c r="I116">
        <v>120000</v>
      </c>
      <c r="J116">
        <v>1</v>
      </c>
      <c r="K116">
        <v>120000</v>
      </c>
    </row>
    <row r="117" spans="1:11" x14ac:dyDescent="0.3">
      <c r="A117" s="1">
        <v>42607</v>
      </c>
      <c r="B117">
        <v>1991</v>
      </c>
      <c r="C117" t="s">
        <v>35</v>
      </c>
      <c r="D117" t="s">
        <v>12</v>
      </c>
      <c r="E117" t="s">
        <v>13</v>
      </c>
      <c r="F117">
        <v>4.0999999999999996</v>
      </c>
      <c r="G117" t="s">
        <v>63</v>
      </c>
      <c r="H117" t="s">
        <v>28</v>
      </c>
      <c r="I117">
        <v>140000</v>
      </c>
      <c r="J117">
        <v>4</v>
      </c>
      <c r="K117">
        <v>560000</v>
      </c>
    </row>
    <row r="118" spans="1:11" x14ac:dyDescent="0.3">
      <c r="A118" s="1">
        <v>42819</v>
      </c>
      <c r="B118">
        <v>2014</v>
      </c>
      <c r="C118" t="s">
        <v>71</v>
      </c>
      <c r="D118" t="s">
        <v>21</v>
      </c>
      <c r="E118" t="s">
        <v>31</v>
      </c>
      <c r="F118">
        <v>29.1</v>
      </c>
      <c r="G118" t="s">
        <v>46</v>
      </c>
      <c r="H118" t="s">
        <v>28</v>
      </c>
      <c r="I118">
        <v>26000</v>
      </c>
      <c r="J118">
        <v>2</v>
      </c>
      <c r="K118">
        <v>52000</v>
      </c>
    </row>
    <row r="119" spans="1:11" x14ac:dyDescent="0.3">
      <c r="A119" s="1">
        <v>45271</v>
      </c>
      <c r="B119">
        <v>2014</v>
      </c>
      <c r="C119" t="s">
        <v>50</v>
      </c>
      <c r="D119" t="s">
        <v>12</v>
      </c>
      <c r="E119" t="s">
        <v>53</v>
      </c>
      <c r="F119">
        <v>28.2</v>
      </c>
      <c r="G119" t="s">
        <v>43</v>
      </c>
      <c r="H119" t="s">
        <v>28</v>
      </c>
      <c r="I119">
        <v>160000</v>
      </c>
      <c r="J119">
        <v>3</v>
      </c>
      <c r="K119">
        <v>480000</v>
      </c>
    </row>
    <row r="120" spans="1:11" x14ac:dyDescent="0.3">
      <c r="A120" s="1">
        <v>44151</v>
      </c>
      <c r="B120">
        <v>1990</v>
      </c>
      <c r="C120" t="s">
        <v>11</v>
      </c>
      <c r="D120" t="s">
        <v>56</v>
      </c>
      <c r="E120" t="s">
        <v>13</v>
      </c>
      <c r="F120">
        <v>4.4000000000000004</v>
      </c>
      <c r="G120" t="s">
        <v>23</v>
      </c>
      <c r="H120" t="s">
        <v>28</v>
      </c>
      <c r="I120">
        <v>70000</v>
      </c>
      <c r="J120">
        <v>3</v>
      </c>
      <c r="K120">
        <v>210000</v>
      </c>
    </row>
    <row r="121" spans="1:11" x14ac:dyDescent="0.3">
      <c r="A121" s="1">
        <v>43200</v>
      </c>
      <c r="B121">
        <v>1999</v>
      </c>
      <c r="C121" t="s">
        <v>64</v>
      </c>
      <c r="D121" t="s">
        <v>21</v>
      </c>
      <c r="E121" t="s">
        <v>38</v>
      </c>
      <c r="F121">
        <v>13.6</v>
      </c>
      <c r="G121" t="s">
        <v>27</v>
      </c>
      <c r="H121" t="s">
        <v>28</v>
      </c>
      <c r="I121">
        <v>50000</v>
      </c>
      <c r="J121">
        <v>2</v>
      </c>
      <c r="K121">
        <v>100000</v>
      </c>
    </row>
    <row r="122" spans="1:11" x14ac:dyDescent="0.3">
      <c r="A122" s="1">
        <v>44617</v>
      </c>
      <c r="B122">
        <v>2008</v>
      </c>
      <c r="C122" t="s">
        <v>44</v>
      </c>
      <c r="D122" t="s">
        <v>17</v>
      </c>
      <c r="E122" t="s">
        <v>58</v>
      </c>
      <c r="F122">
        <v>24.9</v>
      </c>
      <c r="G122" t="s">
        <v>46</v>
      </c>
      <c r="H122" t="s">
        <v>15</v>
      </c>
      <c r="I122">
        <v>180000</v>
      </c>
      <c r="J122">
        <v>4</v>
      </c>
      <c r="K122">
        <v>720000</v>
      </c>
    </row>
    <row r="123" spans="1:11" x14ac:dyDescent="0.3">
      <c r="A123" s="1">
        <v>42574</v>
      </c>
      <c r="B123">
        <v>2019</v>
      </c>
      <c r="C123" t="s">
        <v>37</v>
      </c>
      <c r="D123" t="s">
        <v>48</v>
      </c>
      <c r="E123" t="s">
        <v>69</v>
      </c>
      <c r="F123">
        <v>34.5</v>
      </c>
      <c r="G123" t="s">
        <v>14</v>
      </c>
      <c r="H123" t="s">
        <v>28</v>
      </c>
      <c r="I123">
        <v>29000</v>
      </c>
      <c r="J123">
        <v>1</v>
      </c>
      <c r="K123">
        <v>29000</v>
      </c>
    </row>
    <row r="124" spans="1:11" x14ac:dyDescent="0.3">
      <c r="A124" s="1">
        <v>43041</v>
      </c>
      <c r="B124">
        <v>2007</v>
      </c>
      <c r="C124" t="s">
        <v>52</v>
      </c>
      <c r="D124" t="s">
        <v>48</v>
      </c>
      <c r="E124" t="s">
        <v>18</v>
      </c>
      <c r="F124">
        <v>20.5</v>
      </c>
      <c r="G124" t="s">
        <v>51</v>
      </c>
      <c r="H124" t="s">
        <v>15</v>
      </c>
      <c r="I124">
        <v>52000</v>
      </c>
      <c r="J124">
        <v>2</v>
      </c>
      <c r="K124">
        <v>104000</v>
      </c>
    </row>
    <row r="125" spans="1:11" x14ac:dyDescent="0.3">
      <c r="A125" s="1">
        <v>44261</v>
      </c>
      <c r="B125">
        <v>1990</v>
      </c>
      <c r="C125" t="s">
        <v>61</v>
      </c>
      <c r="D125" t="s">
        <v>56</v>
      </c>
      <c r="E125" t="s">
        <v>42</v>
      </c>
      <c r="F125">
        <v>4.7</v>
      </c>
      <c r="G125" t="s">
        <v>54</v>
      </c>
      <c r="H125" t="s">
        <v>15</v>
      </c>
      <c r="I125">
        <v>30000</v>
      </c>
      <c r="J125">
        <v>2</v>
      </c>
      <c r="K125">
        <v>60000</v>
      </c>
    </row>
    <row r="126" spans="1:11" x14ac:dyDescent="0.3">
      <c r="A126" s="1">
        <v>45209</v>
      </c>
      <c r="B126">
        <v>2001</v>
      </c>
      <c r="C126" t="s">
        <v>37</v>
      </c>
      <c r="D126" t="s">
        <v>36</v>
      </c>
      <c r="E126" t="s">
        <v>22</v>
      </c>
      <c r="F126">
        <v>18.899999999999999</v>
      </c>
      <c r="G126" t="s">
        <v>54</v>
      </c>
      <c r="H126" t="s">
        <v>15</v>
      </c>
      <c r="I126">
        <v>29000</v>
      </c>
      <c r="J126">
        <v>4</v>
      </c>
      <c r="K126">
        <v>116000</v>
      </c>
    </row>
    <row r="127" spans="1:11" x14ac:dyDescent="0.3">
      <c r="A127" s="1">
        <v>44940</v>
      </c>
      <c r="B127">
        <v>2011</v>
      </c>
      <c r="C127" t="s">
        <v>68</v>
      </c>
      <c r="D127" t="s">
        <v>36</v>
      </c>
      <c r="E127" t="s">
        <v>53</v>
      </c>
      <c r="F127">
        <v>28.5</v>
      </c>
      <c r="G127" t="s">
        <v>23</v>
      </c>
      <c r="H127" t="s">
        <v>28</v>
      </c>
      <c r="I127">
        <v>23000</v>
      </c>
      <c r="J127">
        <v>4</v>
      </c>
      <c r="K127">
        <v>92000</v>
      </c>
    </row>
    <row r="128" spans="1:11" x14ac:dyDescent="0.3">
      <c r="A128" s="1">
        <v>44969</v>
      </c>
      <c r="B128">
        <v>1992</v>
      </c>
      <c r="C128" t="s">
        <v>24</v>
      </c>
      <c r="D128" t="s">
        <v>40</v>
      </c>
      <c r="E128" t="s">
        <v>70</v>
      </c>
      <c r="F128">
        <v>6.8</v>
      </c>
      <c r="G128" t="s">
        <v>54</v>
      </c>
      <c r="H128" t="s">
        <v>15</v>
      </c>
      <c r="I128">
        <v>45000</v>
      </c>
      <c r="J128">
        <v>3</v>
      </c>
      <c r="K128">
        <v>135000</v>
      </c>
    </row>
    <row r="129" spans="1:11" x14ac:dyDescent="0.3">
      <c r="A129" s="1">
        <v>43379</v>
      </c>
      <c r="B129">
        <v>2021</v>
      </c>
      <c r="C129" t="s">
        <v>37</v>
      </c>
      <c r="D129" t="s">
        <v>12</v>
      </c>
      <c r="E129" t="s">
        <v>18</v>
      </c>
      <c r="F129">
        <v>36.1</v>
      </c>
      <c r="G129" t="s">
        <v>54</v>
      </c>
      <c r="H129" t="s">
        <v>15</v>
      </c>
      <c r="I129">
        <v>29000</v>
      </c>
      <c r="J129">
        <v>5</v>
      </c>
      <c r="K129">
        <v>145000</v>
      </c>
    </row>
    <row r="130" spans="1:11" x14ac:dyDescent="0.3">
      <c r="A130" s="1">
        <v>45556</v>
      </c>
      <c r="B130">
        <v>2010</v>
      </c>
      <c r="C130" t="s">
        <v>55</v>
      </c>
      <c r="D130" t="s">
        <v>25</v>
      </c>
      <c r="E130" t="s">
        <v>34</v>
      </c>
      <c r="F130">
        <v>28.4</v>
      </c>
      <c r="G130" t="s">
        <v>32</v>
      </c>
      <c r="H130" t="s">
        <v>28</v>
      </c>
      <c r="I130">
        <v>28000</v>
      </c>
      <c r="J130">
        <v>5</v>
      </c>
      <c r="K130">
        <v>140000</v>
      </c>
    </row>
    <row r="131" spans="1:11" x14ac:dyDescent="0.3">
      <c r="A131" s="1">
        <v>44009</v>
      </c>
      <c r="B131">
        <v>2001</v>
      </c>
      <c r="C131" t="s">
        <v>20</v>
      </c>
      <c r="D131" t="s">
        <v>30</v>
      </c>
      <c r="E131" t="s">
        <v>22</v>
      </c>
      <c r="F131">
        <v>15.4</v>
      </c>
      <c r="G131" t="s">
        <v>46</v>
      </c>
      <c r="H131" t="s">
        <v>28</v>
      </c>
      <c r="I131">
        <v>50000</v>
      </c>
      <c r="J131">
        <v>3</v>
      </c>
      <c r="K131">
        <v>150000</v>
      </c>
    </row>
    <row r="132" spans="1:11" x14ac:dyDescent="0.3">
      <c r="A132" s="1">
        <v>43531</v>
      </c>
      <c r="B132">
        <v>2015</v>
      </c>
      <c r="C132" t="s">
        <v>33</v>
      </c>
      <c r="D132" t="s">
        <v>17</v>
      </c>
      <c r="E132" t="s">
        <v>53</v>
      </c>
      <c r="F132">
        <v>30.8</v>
      </c>
      <c r="G132" t="s">
        <v>51</v>
      </c>
      <c r="H132" t="s">
        <v>28</v>
      </c>
      <c r="I132">
        <v>47000</v>
      </c>
      <c r="J132">
        <v>3</v>
      </c>
      <c r="K132">
        <v>141000</v>
      </c>
    </row>
    <row r="133" spans="1:11" x14ac:dyDescent="0.3">
      <c r="A133" s="1">
        <v>45130</v>
      </c>
      <c r="B133">
        <v>2007</v>
      </c>
      <c r="C133" t="s">
        <v>20</v>
      </c>
      <c r="D133" t="s">
        <v>36</v>
      </c>
      <c r="E133" t="s">
        <v>58</v>
      </c>
      <c r="F133">
        <v>20.5</v>
      </c>
      <c r="G133" t="s">
        <v>63</v>
      </c>
      <c r="H133" t="s">
        <v>28</v>
      </c>
      <c r="I133">
        <v>50000</v>
      </c>
      <c r="J133">
        <v>5</v>
      </c>
      <c r="K133">
        <v>250000</v>
      </c>
    </row>
    <row r="134" spans="1:11" x14ac:dyDescent="0.3">
      <c r="A134" s="1">
        <v>45179</v>
      </c>
      <c r="B134">
        <v>2020</v>
      </c>
      <c r="C134" t="s">
        <v>57</v>
      </c>
      <c r="D134" t="s">
        <v>17</v>
      </c>
      <c r="E134" t="s">
        <v>38</v>
      </c>
      <c r="F134">
        <v>36.299999999999997</v>
      </c>
      <c r="G134" t="s">
        <v>23</v>
      </c>
      <c r="H134" t="s">
        <v>28</v>
      </c>
      <c r="I134">
        <v>25000</v>
      </c>
      <c r="J134">
        <v>3</v>
      </c>
      <c r="K134">
        <v>75000</v>
      </c>
    </row>
    <row r="135" spans="1:11" x14ac:dyDescent="0.3">
      <c r="A135" s="1">
        <v>45480</v>
      </c>
      <c r="B135">
        <v>2010</v>
      </c>
      <c r="C135" t="s">
        <v>61</v>
      </c>
      <c r="D135" t="s">
        <v>36</v>
      </c>
      <c r="E135" t="s">
        <v>42</v>
      </c>
      <c r="F135">
        <v>27.7</v>
      </c>
      <c r="G135" t="s">
        <v>63</v>
      </c>
      <c r="H135" t="s">
        <v>28</v>
      </c>
      <c r="I135">
        <v>30000</v>
      </c>
      <c r="J135">
        <v>4</v>
      </c>
      <c r="K135">
        <v>120000</v>
      </c>
    </row>
    <row r="136" spans="1:11" x14ac:dyDescent="0.3">
      <c r="A136" s="1">
        <v>44238</v>
      </c>
      <c r="B136">
        <v>2010</v>
      </c>
      <c r="C136" t="s">
        <v>68</v>
      </c>
      <c r="D136" t="s">
        <v>12</v>
      </c>
      <c r="E136" t="s">
        <v>41</v>
      </c>
      <c r="F136">
        <v>26.4</v>
      </c>
      <c r="G136" t="s">
        <v>32</v>
      </c>
      <c r="H136" t="s">
        <v>28</v>
      </c>
      <c r="I136">
        <v>23000</v>
      </c>
      <c r="J136">
        <v>5</v>
      </c>
      <c r="K136">
        <v>115000</v>
      </c>
    </row>
    <row r="137" spans="1:11" x14ac:dyDescent="0.3">
      <c r="A137" s="1">
        <v>44590</v>
      </c>
      <c r="B137">
        <v>1991</v>
      </c>
      <c r="C137" t="s">
        <v>55</v>
      </c>
      <c r="D137" t="s">
        <v>25</v>
      </c>
      <c r="E137" t="s">
        <v>70</v>
      </c>
      <c r="F137">
        <v>7.3</v>
      </c>
      <c r="G137" t="s">
        <v>63</v>
      </c>
      <c r="H137" t="s">
        <v>15</v>
      </c>
      <c r="I137">
        <v>28000</v>
      </c>
      <c r="J137">
        <v>4</v>
      </c>
      <c r="K137">
        <v>112000</v>
      </c>
    </row>
    <row r="138" spans="1:11" x14ac:dyDescent="0.3">
      <c r="A138" s="1">
        <v>43428</v>
      </c>
      <c r="B138">
        <v>2007</v>
      </c>
      <c r="C138" t="s">
        <v>44</v>
      </c>
      <c r="D138" t="s">
        <v>36</v>
      </c>
      <c r="E138" t="s">
        <v>41</v>
      </c>
      <c r="F138">
        <v>24.6</v>
      </c>
      <c r="G138" t="s">
        <v>46</v>
      </c>
      <c r="H138" t="s">
        <v>15</v>
      </c>
      <c r="I138">
        <v>180000</v>
      </c>
      <c r="J138">
        <v>2</v>
      </c>
      <c r="K138">
        <v>360000</v>
      </c>
    </row>
    <row r="139" spans="1:11" x14ac:dyDescent="0.3">
      <c r="A139" s="1">
        <v>42592</v>
      </c>
      <c r="B139">
        <v>1991</v>
      </c>
      <c r="C139" t="s">
        <v>11</v>
      </c>
      <c r="D139" t="s">
        <v>30</v>
      </c>
      <c r="E139" t="s">
        <v>26</v>
      </c>
      <c r="F139">
        <v>4.4000000000000004</v>
      </c>
      <c r="G139" t="s">
        <v>46</v>
      </c>
      <c r="H139" t="s">
        <v>28</v>
      </c>
      <c r="I139">
        <v>70000</v>
      </c>
      <c r="J139">
        <v>5</v>
      </c>
      <c r="K139">
        <v>350000</v>
      </c>
    </row>
    <row r="140" spans="1:11" x14ac:dyDescent="0.3">
      <c r="A140" s="1">
        <v>42540</v>
      </c>
      <c r="B140">
        <v>2021</v>
      </c>
      <c r="C140" t="s">
        <v>16</v>
      </c>
      <c r="D140" t="s">
        <v>62</v>
      </c>
      <c r="E140" t="s">
        <v>42</v>
      </c>
      <c r="F140">
        <v>38.1</v>
      </c>
      <c r="G140" t="s">
        <v>32</v>
      </c>
      <c r="H140" t="s">
        <v>15</v>
      </c>
      <c r="I140">
        <v>80000</v>
      </c>
      <c r="J140">
        <v>1</v>
      </c>
      <c r="K140">
        <v>80000</v>
      </c>
    </row>
    <row r="141" spans="1:11" x14ac:dyDescent="0.3">
      <c r="A141" s="1">
        <v>43126</v>
      </c>
      <c r="B141">
        <v>2002</v>
      </c>
      <c r="C141" t="s">
        <v>37</v>
      </c>
      <c r="D141" t="s">
        <v>48</v>
      </c>
      <c r="E141" t="s">
        <v>49</v>
      </c>
      <c r="F141">
        <v>15.5</v>
      </c>
      <c r="G141" t="s">
        <v>43</v>
      </c>
      <c r="H141" t="s">
        <v>15</v>
      </c>
      <c r="I141">
        <v>29000</v>
      </c>
      <c r="J141">
        <v>4</v>
      </c>
      <c r="K141">
        <v>116000</v>
      </c>
    </row>
    <row r="142" spans="1:11" x14ac:dyDescent="0.3">
      <c r="A142" s="1">
        <v>44385</v>
      </c>
      <c r="B142">
        <v>2023</v>
      </c>
      <c r="C142" t="s">
        <v>52</v>
      </c>
      <c r="D142" t="s">
        <v>36</v>
      </c>
      <c r="E142" t="s">
        <v>65</v>
      </c>
      <c r="F142">
        <v>36.299999999999997</v>
      </c>
      <c r="G142" t="s">
        <v>43</v>
      </c>
      <c r="H142" t="s">
        <v>28</v>
      </c>
      <c r="I142">
        <v>52000</v>
      </c>
      <c r="J142">
        <v>1</v>
      </c>
      <c r="K142">
        <v>52000</v>
      </c>
    </row>
    <row r="143" spans="1:11" x14ac:dyDescent="0.3">
      <c r="A143" s="1">
        <v>45734</v>
      </c>
      <c r="B143">
        <v>2000</v>
      </c>
      <c r="C143" t="s">
        <v>35</v>
      </c>
      <c r="D143" t="s">
        <v>12</v>
      </c>
      <c r="E143" t="s">
        <v>53</v>
      </c>
      <c r="F143">
        <v>13.4</v>
      </c>
      <c r="G143" t="s">
        <v>27</v>
      </c>
      <c r="H143" t="s">
        <v>15</v>
      </c>
      <c r="I143">
        <v>140000</v>
      </c>
      <c r="J143">
        <v>5</v>
      </c>
      <c r="K143">
        <v>700000</v>
      </c>
    </row>
    <row r="144" spans="1:11" x14ac:dyDescent="0.3">
      <c r="A144" s="1">
        <v>42994</v>
      </c>
      <c r="B144">
        <v>2006</v>
      </c>
      <c r="C144" t="s">
        <v>20</v>
      </c>
      <c r="D144" t="s">
        <v>30</v>
      </c>
      <c r="E144" t="s">
        <v>22</v>
      </c>
      <c r="F144">
        <v>18.5</v>
      </c>
      <c r="G144" t="s">
        <v>43</v>
      </c>
      <c r="H144" t="s">
        <v>28</v>
      </c>
      <c r="I144">
        <v>50000</v>
      </c>
      <c r="J144">
        <v>1</v>
      </c>
      <c r="K144">
        <v>50000</v>
      </c>
    </row>
    <row r="145" spans="1:11" x14ac:dyDescent="0.3">
      <c r="A145" s="1">
        <v>43897</v>
      </c>
      <c r="B145">
        <v>1992</v>
      </c>
      <c r="C145" t="s">
        <v>57</v>
      </c>
      <c r="D145" t="s">
        <v>62</v>
      </c>
      <c r="E145" t="s">
        <v>42</v>
      </c>
      <c r="F145">
        <v>7.1</v>
      </c>
      <c r="G145" t="s">
        <v>32</v>
      </c>
      <c r="H145" t="s">
        <v>28</v>
      </c>
      <c r="I145">
        <v>25000</v>
      </c>
      <c r="J145">
        <v>3</v>
      </c>
      <c r="K145">
        <v>75000</v>
      </c>
    </row>
    <row r="146" spans="1:11" x14ac:dyDescent="0.3">
      <c r="A146" s="1">
        <v>42818</v>
      </c>
      <c r="B146">
        <v>2018</v>
      </c>
      <c r="C146" t="s">
        <v>72</v>
      </c>
      <c r="D146" t="s">
        <v>36</v>
      </c>
      <c r="E146" t="s">
        <v>13</v>
      </c>
      <c r="F146">
        <v>33.5</v>
      </c>
      <c r="G146" t="s">
        <v>19</v>
      </c>
      <c r="H146" t="s">
        <v>15</v>
      </c>
      <c r="I146">
        <v>55000</v>
      </c>
      <c r="J146">
        <v>2</v>
      </c>
      <c r="K146">
        <v>110000</v>
      </c>
    </row>
    <row r="147" spans="1:11" x14ac:dyDescent="0.3">
      <c r="A147" s="1">
        <v>44686</v>
      </c>
      <c r="B147">
        <v>2010</v>
      </c>
      <c r="C147" t="s">
        <v>72</v>
      </c>
      <c r="D147" t="s">
        <v>30</v>
      </c>
      <c r="E147" t="s">
        <v>18</v>
      </c>
      <c r="F147">
        <v>24.5</v>
      </c>
      <c r="G147" t="s">
        <v>23</v>
      </c>
      <c r="H147" t="s">
        <v>28</v>
      </c>
      <c r="I147">
        <v>55000</v>
      </c>
      <c r="J147">
        <v>3</v>
      </c>
      <c r="K147">
        <v>165000</v>
      </c>
    </row>
    <row r="148" spans="1:11" x14ac:dyDescent="0.3">
      <c r="A148" s="1">
        <v>44960</v>
      </c>
      <c r="B148">
        <v>2010</v>
      </c>
      <c r="C148" t="s">
        <v>11</v>
      </c>
      <c r="D148" t="s">
        <v>30</v>
      </c>
      <c r="E148" t="s">
        <v>22</v>
      </c>
      <c r="F148">
        <v>28.1</v>
      </c>
      <c r="G148" t="s">
        <v>51</v>
      </c>
      <c r="H148" t="s">
        <v>15</v>
      </c>
      <c r="I148">
        <v>70000</v>
      </c>
      <c r="J148">
        <v>3</v>
      </c>
      <c r="K148">
        <v>210000</v>
      </c>
    </row>
    <row r="149" spans="1:11" x14ac:dyDescent="0.3">
      <c r="A149" s="1">
        <v>44212</v>
      </c>
      <c r="B149">
        <v>1991</v>
      </c>
      <c r="C149" t="s">
        <v>24</v>
      </c>
      <c r="D149" t="s">
        <v>62</v>
      </c>
      <c r="E149" t="s">
        <v>70</v>
      </c>
      <c r="F149">
        <v>4.0999999999999996</v>
      </c>
      <c r="G149" t="s">
        <v>27</v>
      </c>
      <c r="H149" t="s">
        <v>28</v>
      </c>
      <c r="I149">
        <v>45000</v>
      </c>
      <c r="J149">
        <v>2</v>
      </c>
      <c r="K149">
        <v>90000</v>
      </c>
    </row>
    <row r="150" spans="1:11" x14ac:dyDescent="0.3">
      <c r="A150" s="1">
        <v>44370</v>
      </c>
      <c r="B150">
        <v>1995</v>
      </c>
      <c r="C150" t="s">
        <v>50</v>
      </c>
      <c r="D150" t="s">
        <v>48</v>
      </c>
      <c r="E150" t="s">
        <v>13</v>
      </c>
      <c r="F150">
        <v>12.4</v>
      </c>
      <c r="G150" t="s">
        <v>23</v>
      </c>
      <c r="H150" t="s">
        <v>15</v>
      </c>
      <c r="I150">
        <v>160000</v>
      </c>
      <c r="J150">
        <v>2</v>
      </c>
      <c r="K150">
        <v>320000</v>
      </c>
    </row>
    <row r="151" spans="1:11" x14ac:dyDescent="0.3">
      <c r="A151" s="1">
        <v>44652</v>
      </c>
      <c r="B151">
        <v>2011</v>
      </c>
      <c r="C151" t="s">
        <v>55</v>
      </c>
      <c r="D151" t="s">
        <v>21</v>
      </c>
      <c r="E151" t="s">
        <v>42</v>
      </c>
      <c r="F151">
        <v>25.6</v>
      </c>
      <c r="G151" t="s">
        <v>23</v>
      </c>
      <c r="H151" t="s">
        <v>28</v>
      </c>
      <c r="I151">
        <v>28000</v>
      </c>
      <c r="J151">
        <v>1</v>
      </c>
      <c r="K151">
        <v>28000</v>
      </c>
    </row>
    <row r="152" spans="1:11" x14ac:dyDescent="0.3">
      <c r="A152" s="1">
        <v>43957</v>
      </c>
      <c r="B152">
        <v>1997</v>
      </c>
      <c r="C152" t="s">
        <v>55</v>
      </c>
      <c r="D152" t="s">
        <v>17</v>
      </c>
      <c r="E152" t="s">
        <v>34</v>
      </c>
      <c r="F152">
        <v>12.6</v>
      </c>
      <c r="G152" t="s">
        <v>63</v>
      </c>
      <c r="H152" t="s">
        <v>28</v>
      </c>
      <c r="I152">
        <v>28000</v>
      </c>
      <c r="J152">
        <v>5</v>
      </c>
      <c r="K152">
        <v>140000</v>
      </c>
    </row>
    <row r="153" spans="1:11" x14ac:dyDescent="0.3">
      <c r="A153" s="1">
        <v>44725</v>
      </c>
      <c r="B153">
        <v>2011</v>
      </c>
      <c r="C153" t="s">
        <v>50</v>
      </c>
      <c r="D153" t="s">
        <v>12</v>
      </c>
      <c r="E153" t="s">
        <v>18</v>
      </c>
      <c r="F153">
        <v>25.9</v>
      </c>
      <c r="G153" t="s">
        <v>63</v>
      </c>
      <c r="H153" t="s">
        <v>15</v>
      </c>
      <c r="I153">
        <v>160000</v>
      </c>
      <c r="J153">
        <v>5</v>
      </c>
      <c r="K153">
        <v>800000</v>
      </c>
    </row>
    <row r="154" spans="1:11" x14ac:dyDescent="0.3">
      <c r="A154" s="1">
        <v>43214</v>
      </c>
      <c r="B154">
        <v>1996</v>
      </c>
      <c r="C154" t="s">
        <v>61</v>
      </c>
      <c r="D154" t="s">
        <v>56</v>
      </c>
      <c r="E154" t="s">
        <v>22</v>
      </c>
      <c r="F154">
        <v>12.2</v>
      </c>
      <c r="G154" t="s">
        <v>63</v>
      </c>
      <c r="H154" t="s">
        <v>15</v>
      </c>
      <c r="I154">
        <v>30000</v>
      </c>
      <c r="J154">
        <v>2</v>
      </c>
      <c r="K154">
        <v>60000</v>
      </c>
    </row>
    <row r="155" spans="1:11" x14ac:dyDescent="0.3">
      <c r="A155" s="1">
        <v>44698</v>
      </c>
      <c r="B155">
        <v>2009</v>
      </c>
      <c r="C155" t="s">
        <v>64</v>
      </c>
      <c r="D155" t="s">
        <v>48</v>
      </c>
      <c r="E155" t="s">
        <v>26</v>
      </c>
      <c r="F155">
        <v>24.5</v>
      </c>
      <c r="G155" t="s">
        <v>23</v>
      </c>
      <c r="H155" t="s">
        <v>28</v>
      </c>
      <c r="I155">
        <v>50000</v>
      </c>
      <c r="J155">
        <v>4</v>
      </c>
      <c r="K155">
        <v>200000</v>
      </c>
    </row>
    <row r="156" spans="1:11" x14ac:dyDescent="0.3">
      <c r="A156" s="1">
        <v>45804</v>
      </c>
      <c r="B156">
        <v>2018</v>
      </c>
      <c r="C156" t="s">
        <v>33</v>
      </c>
      <c r="D156" t="s">
        <v>40</v>
      </c>
      <c r="E156" t="s">
        <v>41</v>
      </c>
      <c r="F156">
        <v>35.6</v>
      </c>
      <c r="G156" t="s">
        <v>43</v>
      </c>
      <c r="H156" t="s">
        <v>28</v>
      </c>
      <c r="I156">
        <v>47000</v>
      </c>
      <c r="J156">
        <v>5</v>
      </c>
      <c r="K156">
        <v>235000</v>
      </c>
    </row>
    <row r="157" spans="1:11" x14ac:dyDescent="0.3">
      <c r="A157" s="1">
        <v>42585</v>
      </c>
      <c r="B157">
        <v>1993</v>
      </c>
      <c r="C157" t="s">
        <v>55</v>
      </c>
      <c r="D157" t="s">
        <v>56</v>
      </c>
      <c r="E157" t="s">
        <v>18</v>
      </c>
      <c r="F157">
        <v>9.8000000000000007</v>
      </c>
      <c r="G157" t="s">
        <v>23</v>
      </c>
      <c r="H157" t="s">
        <v>15</v>
      </c>
      <c r="I157">
        <v>28000</v>
      </c>
      <c r="J157">
        <v>4</v>
      </c>
      <c r="K157">
        <v>112000</v>
      </c>
    </row>
    <row r="158" spans="1:11" x14ac:dyDescent="0.3">
      <c r="A158" s="1">
        <v>42685</v>
      </c>
      <c r="B158">
        <v>2001</v>
      </c>
      <c r="C158" t="s">
        <v>11</v>
      </c>
      <c r="D158" t="s">
        <v>17</v>
      </c>
      <c r="E158" t="s">
        <v>45</v>
      </c>
      <c r="F158">
        <v>14.9</v>
      </c>
      <c r="G158" t="s">
        <v>32</v>
      </c>
      <c r="H158" t="s">
        <v>15</v>
      </c>
      <c r="I158">
        <v>70000</v>
      </c>
      <c r="J158">
        <v>1</v>
      </c>
      <c r="K158">
        <v>70000</v>
      </c>
    </row>
    <row r="159" spans="1:11" x14ac:dyDescent="0.3">
      <c r="A159" s="1">
        <v>42940</v>
      </c>
      <c r="B159">
        <v>2006</v>
      </c>
      <c r="C159" t="s">
        <v>39</v>
      </c>
      <c r="D159" t="s">
        <v>30</v>
      </c>
      <c r="E159" t="s">
        <v>22</v>
      </c>
      <c r="F159">
        <v>18.5</v>
      </c>
      <c r="G159" t="s">
        <v>23</v>
      </c>
      <c r="H159" t="s">
        <v>28</v>
      </c>
      <c r="I159">
        <v>32000</v>
      </c>
      <c r="J159">
        <v>2</v>
      </c>
      <c r="K159">
        <v>64000</v>
      </c>
    </row>
    <row r="160" spans="1:11" x14ac:dyDescent="0.3">
      <c r="A160" s="1">
        <v>42181</v>
      </c>
      <c r="B160">
        <v>1996</v>
      </c>
      <c r="C160" t="s">
        <v>11</v>
      </c>
      <c r="D160" t="s">
        <v>62</v>
      </c>
      <c r="E160" t="s">
        <v>22</v>
      </c>
      <c r="F160">
        <v>13.4</v>
      </c>
      <c r="G160" t="s">
        <v>32</v>
      </c>
      <c r="H160" t="s">
        <v>28</v>
      </c>
      <c r="I160">
        <v>70000</v>
      </c>
      <c r="J160">
        <v>3</v>
      </c>
      <c r="K160">
        <v>210000</v>
      </c>
    </row>
    <row r="161" spans="1:11" x14ac:dyDescent="0.3">
      <c r="A161" s="1">
        <v>44584</v>
      </c>
      <c r="B161">
        <v>2012</v>
      </c>
      <c r="C161" t="s">
        <v>37</v>
      </c>
      <c r="D161" t="s">
        <v>25</v>
      </c>
      <c r="E161" t="s">
        <v>31</v>
      </c>
      <c r="F161">
        <v>25.7</v>
      </c>
      <c r="G161" t="s">
        <v>23</v>
      </c>
      <c r="H161" t="s">
        <v>28</v>
      </c>
      <c r="I161">
        <v>29000</v>
      </c>
      <c r="J161">
        <v>5</v>
      </c>
      <c r="K161">
        <v>145000</v>
      </c>
    </row>
    <row r="162" spans="1:11" x14ac:dyDescent="0.3">
      <c r="A162" s="1">
        <v>42978</v>
      </c>
      <c r="B162">
        <v>1997</v>
      </c>
      <c r="C162" t="s">
        <v>50</v>
      </c>
      <c r="D162" t="s">
        <v>56</v>
      </c>
      <c r="E162" t="s">
        <v>38</v>
      </c>
      <c r="F162">
        <v>14.9</v>
      </c>
      <c r="G162" t="s">
        <v>46</v>
      </c>
      <c r="H162" t="s">
        <v>28</v>
      </c>
      <c r="I162">
        <v>160000</v>
      </c>
      <c r="J162">
        <v>3</v>
      </c>
      <c r="K162">
        <v>480000</v>
      </c>
    </row>
    <row r="163" spans="1:11" x14ac:dyDescent="0.3">
      <c r="A163" s="1">
        <v>44782</v>
      </c>
      <c r="B163">
        <v>2013</v>
      </c>
      <c r="C163" t="s">
        <v>73</v>
      </c>
      <c r="D163" t="s">
        <v>56</v>
      </c>
      <c r="E163" t="s">
        <v>41</v>
      </c>
      <c r="F163">
        <v>26.6</v>
      </c>
      <c r="G163" t="s">
        <v>63</v>
      </c>
      <c r="H163" t="s">
        <v>28</v>
      </c>
      <c r="I163">
        <v>55000</v>
      </c>
      <c r="J163">
        <v>2</v>
      </c>
      <c r="K163">
        <v>110000</v>
      </c>
    </row>
    <row r="164" spans="1:11" x14ac:dyDescent="0.3">
      <c r="A164" s="1">
        <v>42561</v>
      </c>
      <c r="B164">
        <v>2008</v>
      </c>
      <c r="C164" t="s">
        <v>68</v>
      </c>
      <c r="D164" t="s">
        <v>25</v>
      </c>
      <c r="E164" t="s">
        <v>22</v>
      </c>
      <c r="F164">
        <v>25.6</v>
      </c>
      <c r="G164" t="s">
        <v>32</v>
      </c>
      <c r="H164" t="s">
        <v>15</v>
      </c>
      <c r="I164">
        <v>23000</v>
      </c>
      <c r="J164">
        <v>4</v>
      </c>
      <c r="K164">
        <v>92000</v>
      </c>
    </row>
    <row r="165" spans="1:11" x14ac:dyDescent="0.3">
      <c r="A165" s="1">
        <v>44768</v>
      </c>
      <c r="B165">
        <v>2007</v>
      </c>
      <c r="C165" t="s">
        <v>72</v>
      </c>
      <c r="D165" t="s">
        <v>17</v>
      </c>
      <c r="E165" t="s">
        <v>65</v>
      </c>
      <c r="F165">
        <v>20.7</v>
      </c>
      <c r="G165" t="s">
        <v>54</v>
      </c>
      <c r="H165" t="s">
        <v>28</v>
      </c>
      <c r="I165">
        <v>55000</v>
      </c>
      <c r="J165">
        <v>1</v>
      </c>
      <c r="K165">
        <v>55000</v>
      </c>
    </row>
    <row r="166" spans="1:11" x14ac:dyDescent="0.3">
      <c r="A166" s="1">
        <v>43740</v>
      </c>
      <c r="B166">
        <v>2014</v>
      </c>
      <c r="C166" t="s">
        <v>55</v>
      </c>
      <c r="D166" t="s">
        <v>62</v>
      </c>
      <c r="E166" t="s">
        <v>49</v>
      </c>
      <c r="F166">
        <v>28.5</v>
      </c>
      <c r="G166" t="s">
        <v>19</v>
      </c>
      <c r="H166" t="s">
        <v>28</v>
      </c>
      <c r="I166">
        <v>28000</v>
      </c>
      <c r="J166">
        <v>2</v>
      </c>
      <c r="K166">
        <v>56000</v>
      </c>
    </row>
    <row r="167" spans="1:11" x14ac:dyDescent="0.3">
      <c r="A167" s="1">
        <v>44999</v>
      </c>
      <c r="B167">
        <v>2009</v>
      </c>
      <c r="C167" t="s">
        <v>64</v>
      </c>
      <c r="D167" t="s">
        <v>56</v>
      </c>
      <c r="E167" t="s">
        <v>47</v>
      </c>
      <c r="F167">
        <v>24.4</v>
      </c>
      <c r="G167" t="s">
        <v>23</v>
      </c>
      <c r="H167" t="s">
        <v>28</v>
      </c>
      <c r="I167">
        <v>50000</v>
      </c>
      <c r="J167">
        <v>5</v>
      </c>
      <c r="K167">
        <v>250000</v>
      </c>
    </row>
    <row r="168" spans="1:11" x14ac:dyDescent="0.3">
      <c r="A168" s="1">
        <v>43315</v>
      </c>
      <c r="B168">
        <v>2012</v>
      </c>
      <c r="C168" t="s">
        <v>73</v>
      </c>
      <c r="D168" t="s">
        <v>36</v>
      </c>
      <c r="E168" t="s">
        <v>41</v>
      </c>
      <c r="F168">
        <v>26.6</v>
      </c>
      <c r="G168" t="s">
        <v>43</v>
      </c>
      <c r="H168" t="s">
        <v>15</v>
      </c>
      <c r="I168">
        <v>55000</v>
      </c>
      <c r="J168">
        <v>4</v>
      </c>
      <c r="K168">
        <v>220000</v>
      </c>
    </row>
    <row r="169" spans="1:11" x14ac:dyDescent="0.3">
      <c r="A169" s="1">
        <v>45011</v>
      </c>
      <c r="B169">
        <v>2023</v>
      </c>
      <c r="C169" t="s">
        <v>66</v>
      </c>
      <c r="D169" t="s">
        <v>30</v>
      </c>
      <c r="E169" t="s">
        <v>38</v>
      </c>
      <c r="F169">
        <v>39.1</v>
      </c>
      <c r="G169" t="s">
        <v>19</v>
      </c>
      <c r="H169" t="s">
        <v>28</v>
      </c>
      <c r="I169">
        <v>27000</v>
      </c>
      <c r="J169">
        <v>4</v>
      </c>
      <c r="K169">
        <v>108000</v>
      </c>
    </row>
    <row r="170" spans="1:11" x14ac:dyDescent="0.3">
      <c r="A170" s="1">
        <v>43118</v>
      </c>
      <c r="B170">
        <v>2014</v>
      </c>
      <c r="C170" t="s">
        <v>64</v>
      </c>
      <c r="D170" t="s">
        <v>17</v>
      </c>
      <c r="E170" t="s">
        <v>45</v>
      </c>
      <c r="F170">
        <v>32.4</v>
      </c>
      <c r="G170" t="s">
        <v>54</v>
      </c>
      <c r="H170" t="s">
        <v>28</v>
      </c>
      <c r="I170">
        <v>50000</v>
      </c>
      <c r="J170">
        <v>2</v>
      </c>
      <c r="K170">
        <v>100000</v>
      </c>
    </row>
    <row r="171" spans="1:11" x14ac:dyDescent="0.3">
      <c r="A171" s="1">
        <v>44190</v>
      </c>
      <c r="B171">
        <v>2003</v>
      </c>
      <c r="C171" t="s">
        <v>35</v>
      </c>
      <c r="D171" t="s">
        <v>40</v>
      </c>
      <c r="E171" t="s">
        <v>38</v>
      </c>
      <c r="F171">
        <v>18.100000000000001</v>
      </c>
      <c r="G171" t="s">
        <v>63</v>
      </c>
      <c r="H171" t="s">
        <v>15</v>
      </c>
      <c r="I171">
        <v>140000</v>
      </c>
      <c r="J171">
        <v>5</v>
      </c>
      <c r="K171">
        <v>700000</v>
      </c>
    </row>
    <row r="172" spans="1:11" x14ac:dyDescent="0.3">
      <c r="A172" s="1">
        <v>43051</v>
      </c>
      <c r="B172">
        <v>1996</v>
      </c>
      <c r="C172" t="s">
        <v>37</v>
      </c>
      <c r="D172" t="s">
        <v>36</v>
      </c>
      <c r="E172" t="s">
        <v>13</v>
      </c>
      <c r="F172">
        <v>12.6</v>
      </c>
      <c r="G172" t="s">
        <v>46</v>
      </c>
      <c r="H172" t="s">
        <v>15</v>
      </c>
      <c r="I172">
        <v>29000</v>
      </c>
      <c r="J172">
        <v>3</v>
      </c>
      <c r="K172">
        <v>87000</v>
      </c>
    </row>
    <row r="173" spans="1:11" x14ac:dyDescent="0.3">
      <c r="A173" s="1">
        <v>43051</v>
      </c>
      <c r="B173">
        <v>2006</v>
      </c>
      <c r="C173" t="s">
        <v>16</v>
      </c>
      <c r="D173" t="s">
        <v>12</v>
      </c>
      <c r="E173" t="s">
        <v>13</v>
      </c>
      <c r="F173">
        <v>23.4</v>
      </c>
      <c r="G173" t="s">
        <v>32</v>
      </c>
      <c r="H173" t="s">
        <v>15</v>
      </c>
      <c r="I173">
        <v>80000</v>
      </c>
      <c r="J173">
        <v>2</v>
      </c>
      <c r="K173">
        <v>160000</v>
      </c>
    </row>
    <row r="174" spans="1:11" x14ac:dyDescent="0.3">
      <c r="A174" s="1">
        <v>43758</v>
      </c>
      <c r="B174">
        <v>2021</v>
      </c>
      <c r="C174" t="s">
        <v>72</v>
      </c>
      <c r="D174" t="s">
        <v>48</v>
      </c>
      <c r="E174" t="s">
        <v>41</v>
      </c>
      <c r="F174">
        <v>34.299999999999997</v>
      </c>
      <c r="G174" t="s">
        <v>14</v>
      </c>
      <c r="H174" t="s">
        <v>28</v>
      </c>
      <c r="I174">
        <v>55000</v>
      </c>
      <c r="J174">
        <v>3</v>
      </c>
      <c r="K174">
        <v>165000</v>
      </c>
    </row>
    <row r="175" spans="1:11" x14ac:dyDescent="0.3">
      <c r="A175" s="1">
        <v>44492</v>
      </c>
      <c r="B175">
        <v>2001</v>
      </c>
      <c r="C175" t="s">
        <v>29</v>
      </c>
      <c r="D175" t="s">
        <v>36</v>
      </c>
      <c r="E175" t="s">
        <v>26</v>
      </c>
      <c r="F175">
        <v>17.3</v>
      </c>
      <c r="G175" t="s">
        <v>32</v>
      </c>
      <c r="H175" t="s">
        <v>15</v>
      </c>
      <c r="I175">
        <v>24000</v>
      </c>
      <c r="J175">
        <v>3</v>
      </c>
      <c r="K175">
        <v>72000</v>
      </c>
    </row>
    <row r="176" spans="1:11" x14ac:dyDescent="0.3">
      <c r="A176" s="1">
        <v>43084</v>
      </c>
      <c r="B176">
        <v>2003</v>
      </c>
      <c r="C176" t="s">
        <v>50</v>
      </c>
      <c r="D176" t="s">
        <v>62</v>
      </c>
      <c r="E176" t="s">
        <v>45</v>
      </c>
      <c r="F176">
        <v>18.5</v>
      </c>
      <c r="G176" t="s">
        <v>27</v>
      </c>
      <c r="H176" t="s">
        <v>28</v>
      </c>
      <c r="I176">
        <v>160000</v>
      </c>
      <c r="J176">
        <v>2</v>
      </c>
      <c r="K176">
        <v>320000</v>
      </c>
    </row>
    <row r="177" spans="1:11" x14ac:dyDescent="0.3">
      <c r="A177" s="1">
        <v>43663</v>
      </c>
      <c r="B177">
        <v>1991</v>
      </c>
      <c r="C177" t="s">
        <v>72</v>
      </c>
      <c r="D177" t="s">
        <v>36</v>
      </c>
      <c r="E177" t="s">
        <v>67</v>
      </c>
      <c r="F177">
        <v>4.2</v>
      </c>
      <c r="G177" t="s">
        <v>51</v>
      </c>
      <c r="H177" t="s">
        <v>28</v>
      </c>
      <c r="I177">
        <v>55000</v>
      </c>
      <c r="J177">
        <v>1</v>
      </c>
      <c r="K177">
        <v>55000</v>
      </c>
    </row>
    <row r="178" spans="1:11" x14ac:dyDescent="0.3">
      <c r="A178" s="1">
        <v>45797</v>
      </c>
      <c r="B178">
        <v>1996</v>
      </c>
      <c r="C178" t="s">
        <v>39</v>
      </c>
      <c r="D178" t="s">
        <v>12</v>
      </c>
      <c r="E178" t="s">
        <v>69</v>
      </c>
      <c r="F178">
        <v>11.9</v>
      </c>
      <c r="G178" t="s">
        <v>63</v>
      </c>
      <c r="H178" t="s">
        <v>15</v>
      </c>
      <c r="I178">
        <v>32000</v>
      </c>
      <c r="J178">
        <v>2</v>
      </c>
      <c r="K178">
        <v>64000</v>
      </c>
    </row>
    <row r="179" spans="1:11" x14ac:dyDescent="0.3">
      <c r="A179" s="1">
        <v>44189</v>
      </c>
      <c r="B179">
        <v>1997</v>
      </c>
      <c r="C179" t="s">
        <v>20</v>
      </c>
      <c r="D179" t="s">
        <v>56</v>
      </c>
      <c r="E179" t="s">
        <v>41</v>
      </c>
      <c r="F179">
        <v>13.4</v>
      </c>
      <c r="G179" t="s">
        <v>54</v>
      </c>
      <c r="H179" t="s">
        <v>15</v>
      </c>
      <c r="I179">
        <v>50000</v>
      </c>
      <c r="J179">
        <v>2</v>
      </c>
      <c r="K179">
        <v>100000</v>
      </c>
    </row>
    <row r="180" spans="1:11" x14ac:dyDescent="0.3">
      <c r="A180" s="1">
        <v>44365</v>
      </c>
      <c r="B180">
        <v>2024</v>
      </c>
      <c r="C180" t="s">
        <v>64</v>
      </c>
      <c r="D180" t="s">
        <v>36</v>
      </c>
      <c r="E180" t="s">
        <v>18</v>
      </c>
      <c r="F180">
        <v>40.5</v>
      </c>
      <c r="G180" t="s">
        <v>46</v>
      </c>
      <c r="H180" t="s">
        <v>28</v>
      </c>
      <c r="I180">
        <v>50000</v>
      </c>
      <c r="J180">
        <v>1</v>
      </c>
      <c r="K180">
        <v>50000</v>
      </c>
    </row>
    <row r="181" spans="1:11" x14ac:dyDescent="0.3">
      <c r="A181" s="1">
        <v>45786</v>
      </c>
      <c r="B181">
        <v>2002</v>
      </c>
      <c r="C181" t="s">
        <v>35</v>
      </c>
      <c r="D181" t="s">
        <v>62</v>
      </c>
      <c r="E181" t="s">
        <v>41</v>
      </c>
      <c r="F181">
        <v>20</v>
      </c>
      <c r="G181" t="s">
        <v>27</v>
      </c>
      <c r="H181" t="s">
        <v>15</v>
      </c>
      <c r="I181">
        <v>140000</v>
      </c>
      <c r="J181">
        <v>4</v>
      </c>
      <c r="K181">
        <v>560000</v>
      </c>
    </row>
    <row r="182" spans="1:11" x14ac:dyDescent="0.3">
      <c r="A182" s="1">
        <v>44298</v>
      </c>
      <c r="B182">
        <v>2023</v>
      </c>
      <c r="C182" t="s">
        <v>44</v>
      </c>
      <c r="D182" t="s">
        <v>17</v>
      </c>
      <c r="E182" t="s">
        <v>18</v>
      </c>
      <c r="F182">
        <v>39</v>
      </c>
      <c r="G182" t="s">
        <v>27</v>
      </c>
      <c r="H182" t="s">
        <v>15</v>
      </c>
      <c r="I182">
        <v>180000</v>
      </c>
      <c r="J182">
        <v>5</v>
      </c>
      <c r="K182">
        <v>900000</v>
      </c>
    </row>
    <row r="183" spans="1:11" x14ac:dyDescent="0.3">
      <c r="A183" s="1">
        <v>42423</v>
      </c>
      <c r="B183">
        <v>2000</v>
      </c>
      <c r="C183" t="s">
        <v>24</v>
      </c>
      <c r="D183" t="s">
        <v>17</v>
      </c>
      <c r="E183" t="s">
        <v>67</v>
      </c>
      <c r="F183">
        <v>18</v>
      </c>
      <c r="G183" t="s">
        <v>14</v>
      </c>
      <c r="H183" t="s">
        <v>15</v>
      </c>
      <c r="I183">
        <v>45000</v>
      </c>
      <c r="J183">
        <v>4</v>
      </c>
      <c r="K183">
        <v>180000</v>
      </c>
    </row>
    <row r="184" spans="1:11" x14ac:dyDescent="0.3">
      <c r="A184" s="1">
        <v>44659</v>
      </c>
      <c r="B184">
        <v>1998</v>
      </c>
      <c r="C184" t="s">
        <v>55</v>
      </c>
      <c r="D184" t="s">
        <v>30</v>
      </c>
      <c r="E184" t="s">
        <v>31</v>
      </c>
      <c r="F184">
        <v>13.9</v>
      </c>
      <c r="G184" t="s">
        <v>63</v>
      </c>
      <c r="H184" t="s">
        <v>15</v>
      </c>
      <c r="I184">
        <v>28000</v>
      </c>
      <c r="J184">
        <v>4</v>
      </c>
      <c r="K184">
        <v>112000</v>
      </c>
    </row>
    <row r="185" spans="1:11" x14ac:dyDescent="0.3">
      <c r="A185" s="1">
        <v>42299</v>
      </c>
      <c r="B185">
        <v>2014</v>
      </c>
      <c r="C185" t="s">
        <v>73</v>
      </c>
      <c r="D185" t="s">
        <v>48</v>
      </c>
      <c r="E185" t="s">
        <v>13</v>
      </c>
      <c r="F185">
        <v>31.2</v>
      </c>
      <c r="G185" t="s">
        <v>19</v>
      </c>
      <c r="H185" t="s">
        <v>15</v>
      </c>
      <c r="I185">
        <v>55000</v>
      </c>
      <c r="J185">
        <v>5</v>
      </c>
      <c r="K185">
        <v>275000</v>
      </c>
    </row>
    <row r="186" spans="1:11" x14ac:dyDescent="0.3">
      <c r="A186" s="1">
        <v>42561</v>
      </c>
      <c r="B186">
        <v>1991</v>
      </c>
      <c r="C186" t="s">
        <v>60</v>
      </c>
      <c r="D186" t="s">
        <v>56</v>
      </c>
      <c r="E186" t="s">
        <v>47</v>
      </c>
      <c r="F186">
        <v>7</v>
      </c>
      <c r="G186" t="s">
        <v>54</v>
      </c>
      <c r="H186" t="s">
        <v>28</v>
      </c>
      <c r="I186">
        <v>60000</v>
      </c>
      <c r="J186">
        <v>2</v>
      </c>
      <c r="K186">
        <v>120000</v>
      </c>
    </row>
    <row r="187" spans="1:11" x14ac:dyDescent="0.3">
      <c r="A187" s="1">
        <v>42529</v>
      </c>
      <c r="B187">
        <v>2016</v>
      </c>
      <c r="C187" t="s">
        <v>55</v>
      </c>
      <c r="D187" t="s">
        <v>17</v>
      </c>
      <c r="E187" t="s">
        <v>58</v>
      </c>
      <c r="F187">
        <v>29.4</v>
      </c>
      <c r="G187" t="s">
        <v>27</v>
      </c>
      <c r="H187" t="s">
        <v>28</v>
      </c>
      <c r="I187">
        <v>28000</v>
      </c>
      <c r="J187">
        <v>4</v>
      </c>
      <c r="K187">
        <v>112000</v>
      </c>
    </row>
    <row r="188" spans="1:11" x14ac:dyDescent="0.3">
      <c r="A188" s="1">
        <v>43241</v>
      </c>
      <c r="B188">
        <v>1999</v>
      </c>
      <c r="C188" t="s">
        <v>55</v>
      </c>
      <c r="D188" t="s">
        <v>62</v>
      </c>
      <c r="E188" t="s">
        <v>53</v>
      </c>
      <c r="F188">
        <v>13.5</v>
      </c>
      <c r="G188" t="s">
        <v>54</v>
      </c>
      <c r="H188" t="s">
        <v>28</v>
      </c>
      <c r="I188">
        <v>28000</v>
      </c>
      <c r="J188">
        <v>4</v>
      </c>
      <c r="K188">
        <v>112000</v>
      </c>
    </row>
    <row r="189" spans="1:11" x14ac:dyDescent="0.3">
      <c r="A189" s="1">
        <v>44670</v>
      </c>
      <c r="B189">
        <v>2020</v>
      </c>
      <c r="C189" t="s">
        <v>68</v>
      </c>
      <c r="D189" t="s">
        <v>21</v>
      </c>
      <c r="E189" t="s">
        <v>34</v>
      </c>
      <c r="F189">
        <v>37.799999999999997</v>
      </c>
      <c r="G189" t="s">
        <v>23</v>
      </c>
      <c r="H189" t="s">
        <v>28</v>
      </c>
      <c r="I189">
        <v>23000</v>
      </c>
      <c r="J189">
        <v>1</v>
      </c>
      <c r="K189">
        <v>23000</v>
      </c>
    </row>
    <row r="190" spans="1:11" x14ac:dyDescent="0.3">
      <c r="A190" s="1">
        <v>42655</v>
      </c>
      <c r="B190">
        <v>2017</v>
      </c>
      <c r="C190" t="s">
        <v>59</v>
      </c>
      <c r="D190" t="s">
        <v>30</v>
      </c>
      <c r="E190" t="s">
        <v>34</v>
      </c>
      <c r="F190">
        <v>30.7</v>
      </c>
      <c r="G190" t="s">
        <v>32</v>
      </c>
      <c r="H190" t="s">
        <v>28</v>
      </c>
      <c r="I190">
        <v>120000</v>
      </c>
      <c r="J190">
        <v>2</v>
      </c>
      <c r="K190">
        <v>240000</v>
      </c>
    </row>
    <row r="191" spans="1:11" x14ac:dyDescent="0.3">
      <c r="A191" s="1">
        <v>44839</v>
      </c>
      <c r="B191">
        <v>1993</v>
      </c>
      <c r="C191" t="s">
        <v>16</v>
      </c>
      <c r="D191" t="s">
        <v>48</v>
      </c>
      <c r="E191" t="s">
        <v>13</v>
      </c>
      <c r="F191">
        <v>8.6999999999999993</v>
      </c>
      <c r="G191" t="s">
        <v>14</v>
      </c>
      <c r="H191" t="s">
        <v>28</v>
      </c>
      <c r="I191">
        <v>80000</v>
      </c>
      <c r="J191">
        <v>4</v>
      </c>
      <c r="K191">
        <v>320000</v>
      </c>
    </row>
    <row r="192" spans="1:11" x14ac:dyDescent="0.3">
      <c r="A192" s="1">
        <v>42950</v>
      </c>
      <c r="B192">
        <v>2010</v>
      </c>
      <c r="C192" t="s">
        <v>57</v>
      </c>
      <c r="D192" t="s">
        <v>62</v>
      </c>
      <c r="E192" t="s">
        <v>45</v>
      </c>
      <c r="F192">
        <v>25</v>
      </c>
      <c r="G192" t="s">
        <v>43</v>
      </c>
      <c r="H192" t="s">
        <v>15</v>
      </c>
      <c r="I192">
        <v>25000</v>
      </c>
      <c r="J192">
        <v>4</v>
      </c>
      <c r="K192">
        <v>100000</v>
      </c>
    </row>
    <row r="193" spans="1:11" x14ac:dyDescent="0.3">
      <c r="A193" s="1">
        <v>43627</v>
      </c>
      <c r="B193">
        <v>2018</v>
      </c>
      <c r="C193" t="s">
        <v>24</v>
      </c>
      <c r="D193" t="s">
        <v>48</v>
      </c>
      <c r="E193" t="s">
        <v>22</v>
      </c>
      <c r="F193">
        <v>33.6</v>
      </c>
      <c r="G193" t="s">
        <v>46</v>
      </c>
      <c r="H193" t="s">
        <v>28</v>
      </c>
      <c r="I193">
        <v>45000</v>
      </c>
      <c r="J193">
        <v>2</v>
      </c>
      <c r="K193">
        <v>90000</v>
      </c>
    </row>
    <row r="194" spans="1:11" x14ac:dyDescent="0.3">
      <c r="A194" s="1">
        <v>43599</v>
      </c>
      <c r="B194">
        <v>2006</v>
      </c>
      <c r="C194" t="s">
        <v>35</v>
      </c>
      <c r="D194" t="s">
        <v>12</v>
      </c>
      <c r="E194" t="s">
        <v>49</v>
      </c>
      <c r="F194">
        <v>19.600000000000001</v>
      </c>
      <c r="G194" t="s">
        <v>51</v>
      </c>
      <c r="H194" t="s">
        <v>28</v>
      </c>
      <c r="I194">
        <v>140000</v>
      </c>
      <c r="J194">
        <v>3</v>
      </c>
      <c r="K194">
        <v>420000</v>
      </c>
    </row>
    <row r="195" spans="1:11" x14ac:dyDescent="0.3">
      <c r="A195" s="1">
        <v>45667</v>
      </c>
      <c r="B195">
        <v>2001</v>
      </c>
      <c r="C195" t="s">
        <v>72</v>
      </c>
      <c r="D195" t="s">
        <v>36</v>
      </c>
      <c r="E195" t="s">
        <v>70</v>
      </c>
      <c r="F195">
        <v>15.5</v>
      </c>
      <c r="G195" t="s">
        <v>46</v>
      </c>
      <c r="H195" t="s">
        <v>28</v>
      </c>
      <c r="I195">
        <v>55000</v>
      </c>
      <c r="J195">
        <v>4</v>
      </c>
      <c r="K195">
        <v>220000</v>
      </c>
    </row>
    <row r="196" spans="1:11" x14ac:dyDescent="0.3">
      <c r="A196" s="1">
        <v>42527</v>
      </c>
      <c r="B196">
        <v>2016</v>
      </c>
      <c r="C196" t="s">
        <v>37</v>
      </c>
      <c r="D196" t="s">
        <v>17</v>
      </c>
      <c r="E196" t="s">
        <v>67</v>
      </c>
      <c r="F196">
        <v>29.8</v>
      </c>
      <c r="G196" t="s">
        <v>19</v>
      </c>
      <c r="H196" t="s">
        <v>15</v>
      </c>
      <c r="I196">
        <v>29000</v>
      </c>
      <c r="J196">
        <v>5</v>
      </c>
      <c r="K196">
        <v>145000</v>
      </c>
    </row>
    <row r="197" spans="1:11" x14ac:dyDescent="0.3">
      <c r="A197" s="1">
        <v>43987</v>
      </c>
      <c r="B197">
        <v>2003</v>
      </c>
      <c r="C197" t="s">
        <v>61</v>
      </c>
      <c r="D197" t="s">
        <v>30</v>
      </c>
      <c r="E197" t="s">
        <v>34</v>
      </c>
      <c r="F197">
        <v>15.9</v>
      </c>
      <c r="G197" t="s">
        <v>63</v>
      </c>
      <c r="H197" t="s">
        <v>28</v>
      </c>
      <c r="I197">
        <v>30000</v>
      </c>
      <c r="J197">
        <v>1</v>
      </c>
      <c r="K197">
        <v>30000</v>
      </c>
    </row>
    <row r="198" spans="1:11" x14ac:dyDescent="0.3">
      <c r="A198" s="1">
        <v>42736</v>
      </c>
      <c r="B198">
        <v>1991</v>
      </c>
      <c r="C198" t="s">
        <v>61</v>
      </c>
      <c r="D198" t="s">
        <v>21</v>
      </c>
      <c r="E198" t="s">
        <v>70</v>
      </c>
      <c r="F198">
        <v>7</v>
      </c>
      <c r="G198" t="s">
        <v>63</v>
      </c>
      <c r="H198" t="s">
        <v>28</v>
      </c>
      <c r="I198">
        <v>30000</v>
      </c>
      <c r="J198">
        <v>1</v>
      </c>
      <c r="K198">
        <v>30000</v>
      </c>
    </row>
    <row r="199" spans="1:11" x14ac:dyDescent="0.3">
      <c r="A199" s="1">
        <v>44899</v>
      </c>
      <c r="B199">
        <v>2010</v>
      </c>
      <c r="C199" t="s">
        <v>20</v>
      </c>
      <c r="D199" t="s">
        <v>40</v>
      </c>
      <c r="E199" t="s">
        <v>47</v>
      </c>
      <c r="F199">
        <v>28.1</v>
      </c>
      <c r="G199" t="s">
        <v>54</v>
      </c>
      <c r="H199" t="s">
        <v>28</v>
      </c>
      <c r="I199">
        <v>50000</v>
      </c>
      <c r="J199">
        <v>4</v>
      </c>
      <c r="K199">
        <v>200000</v>
      </c>
    </row>
    <row r="200" spans="1:11" x14ac:dyDescent="0.3">
      <c r="A200" s="1">
        <v>42267</v>
      </c>
      <c r="B200">
        <v>2018</v>
      </c>
      <c r="C200" t="s">
        <v>16</v>
      </c>
      <c r="D200" t="s">
        <v>25</v>
      </c>
      <c r="E200" t="s">
        <v>47</v>
      </c>
      <c r="F200">
        <v>33.5</v>
      </c>
      <c r="G200" t="s">
        <v>46</v>
      </c>
      <c r="H200" t="s">
        <v>28</v>
      </c>
      <c r="I200">
        <v>80000</v>
      </c>
      <c r="J200">
        <v>4</v>
      </c>
      <c r="K200">
        <v>320000</v>
      </c>
    </row>
    <row r="201" spans="1:11" x14ac:dyDescent="0.3">
      <c r="A201" s="1">
        <v>44585</v>
      </c>
      <c r="B201">
        <v>2006</v>
      </c>
      <c r="C201" t="s">
        <v>33</v>
      </c>
      <c r="D201" t="s">
        <v>56</v>
      </c>
      <c r="E201" t="s">
        <v>53</v>
      </c>
      <c r="F201">
        <v>22.6</v>
      </c>
      <c r="G201" t="s">
        <v>63</v>
      </c>
      <c r="H201" t="s">
        <v>28</v>
      </c>
      <c r="I201">
        <v>47000</v>
      </c>
      <c r="J201">
        <v>2</v>
      </c>
      <c r="K201">
        <v>94000</v>
      </c>
    </row>
    <row r="202" spans="1:11" x14ac:dyDescent="0.3">
      <c r="A202" s="1">
        <v>45190</v>
      </c>
      <c r="B202">
        <v>2010</v>
      </c>
      <c r="C202" t="s">
        <v>71</v>
      </c>
      <c r="D202" t="s">
        <v>36</v>
      </c>
      <c r="E202" t="s">
        <v>69</v>
      </c>
      <c r="F202">
        <v>23.1</v>
      </c>
      <c r="G202" t="s">
        <v>51</v>
      </c>
      <c r="H202" t="s">
        <v>28</v>
      </c>
      <c r="I202">
        <v>26000</v>
      </c>
      <c r="J202">
        <v>5</v>
      </c>
      <c r="K202">
        <v>130000</v>
      </c>
    </row>
    <row r="203" spans="1:11" x14ac:dyDescent="0.3">
      <c r="A203" s="1">
        <v>44740</v>
      </c>
      <c r="B203">
        <v>1993</v>
      </c>
      <c r="C203" t="s">
        <v>71</v>
      </c>
      <c r="D203" t="s">
        <v>56</v>
      </c>
      <c r="E203" t="s">
        <v>22</v>
      </c>
      <c r="F203">
        <v>6.5</v>
      </c>
      <c r="G203" t="s">
        <v>23</v>
      </c>
      <c r="H203" t="s">
        <v>15</v>
      </c>
      <c r="I203">
        <v>26000</v>
      </c>
      <c r="J203">
        <v>2</v>
      </c>
      <c r="K203">
        <v>52000</v>
      </c>
    </row>
    <row r="204" spans="1:11" x14ac:dyDescent="0.3">
      <c r="A204" s="1">
        <v>44454</v>
      </c>
      <c r="B204">
        <v>2005</v>
      </c>
      <c r="C204" t="s">
        <v>59</v>
      </c>
      <c r="D204" t="s">
        <v>17</v>
      </c>
      <c r="E204" t="s">
        <v>34</v>
      </c>
      <c r="F204">
        <v>23.3</v>
      </c>
      <c r="G204" t="s">
        <v>46</v>
      </c>
      <c r="H204" t="s">
        <v>28</v>
      </c>
      <c r="I204">
        <v>120000</v>
      </c>
      <c r="J204">
        <v>2</v>
      </c>
      <c r="K204">
        <v>240000</v>
      </c>
    </row>
    <row r="205" spans="1:11" x14ac:dyDescent="0.3">
      <c r="A205" s="1">
        <v>44509</v>
      </c>
      <c r="B205">
        <v>2004</v>
      </c>
      <c r="C205" t="s">
        <v>35</v>
      </c>
      <c r="D205" t="s">
        <v>25</v>
      </c>
      <c r="E205" t="s">
        <v>47</v>
      </c>
      <c r="F205">
        <v>18.100000000000001</v>
      </c>
      <c r="G205" t="s">
        <v>46</v>
      </c>
      <c r="H205" t="s">
        <v>15</v>
      </c>
      <c r="I205">
        <v>140000</v>
      </c>
      <c r="J205">
        <v>1</v>
      </c>
      <c r="K205">
        <v>140000</v>
      </c>
    </row>
    <row r="206" spans="1:11" x14ac:dyDescent="0.3">
      <c r="A206" s="1">
        <v>45137</v>
      </c>
      <c r="B206">
        <v>1995</v>
      </c>
      <c r="C206" t="s">
        <v>60</v>
      </c>
      <c r="D206" t="s">
        <v>21</v>
      </c>
      <c r="E206" t="s">
        <v>65</v>
      </c>
      <c r="F206">
        <v>11.4</v>
      </c>
      <c r="G206" t="s">
        <v>63</v>
      </c>
      <c r="H206" t="s">
        <v>15</v>
      </c>
      <c r="I206">
        <v>60000</v>
      </c>
      <c r="J206">
        <v>5</v>
      </c>
      <c r="K206">
        <v>300000</v>
      </c>
    </row>
    <row r="207" spans="1:11" x14ac:dyDescent="0.3">
      <c r="A207" s="1">
        <v>43639</v>
      </c>
      <c r="B207">
        <v>2014</v>
      </c>
      <c r="C207" t="s">
        <v>16</v>
      </c>
      <c r="D207" t="s">
        <v>40</v>
      </c>
      <c r="E207" t="s">
        <v>45</v>
      </c>
      <c r="F207">
        <v>28.1</v>
      </c>
      <c r="G207" t="s">
        <v>51</v>
      </c>
      <c r="H207" t="s">
        <v>15</v>
      </c>
      <c r="I207">
        <v>80000</v>
      </c>
      <c r="J207">
        <v>4</v>
      </c>
      <c r="K207">
        <v>320000</v>
      </c>
    </row>
    <row r="208" spans="1:11" x14ac:dyDescent="0.3">
      <c r="A208" s="1">
        <v>43302</v>
      </c>
      <c r="B208">
        <v>2006</v>
      </c>
      <c r="C208" t="s">
        <v>35</v>
      </c>
      <c r="D208" t="s">
        <v>12</v>
      </c>
      <c r="E208" t="s">
        <v>41</v>
      </c>
      <c r="F208">
        <v>24</v>
      </c>
      <c r="G208" t="s">
        <v>63</v>
      </c>
      <c r="H208" t="s">
        <v>28</v>
      </c>
      <c r="I208">
        <v>140000</v>
      </c>
      <c r="J208">
        <v>3</v>
      </c>
      <c r="K208">
        <v>420000</v>
      </c>
    </row>
    <row r="209" spans="1:11" x14ac:dyDescent="0.3">
      <c r="A209" s="1">
        <v>44351</v>
      </c>
      <c r="B209">
        <v>2009</v>
      </c>
      <c r="C209" t="s">
        <v>55</v>
      </c>
      <c r="D209" t="s">
        <v>25</v>
      </c>
      <c r="E209" t="s">
        <v>49</v>
      </c>
      <c r="F209">
        <v>27.4</v>
      </c>
      <c r="G209" t="s">
        <v>27</v>
      </c>
      <c r="H209" t="s">
        <v>28</v>
      </c>
      <c r="I209">
        <v>28000</v>
      </c>
      <c r="J209">
        <v>1</v>
      </c>
      <c r="K209">
        <v>28000</v>
      </c>
    </row>
    <row r="210" spans="1:11" x14ac:dyDescent="0.3">
      <c r="A210" s="1">
        <v>44087</v>
      </c>
      <c r="B210">
        <v>2004</v>
      </c>
      <c r="C210" t="s">
        <v>35</v>
      </c>
      <c r="D210" t="s">
        <v>62</v>
      </c>
      <c r="E210" t="s">
        <v>22</v>
      </c>
      <c r="F210">
        <v>19.100000000000001</v>
      </c>
      <c r="G210" t="s">
        <v>27</v>
      </c>
      <c r="H210" t="s">
        <v>28</v>
      </c>
      <c r="I210">
        <v>140000</v>
      </c>
      <c r="J210">
        <v>4</v>
      </c>
      <c r="K210">
        <v>560000</v>
      </c>
    </row>
    <row r="211" spans="1:11" x14ac:dyDescent="0.3">
      <c r="A211" s="1">
        <v>43802</v>
      </c>
      <c r="B211">
        <v>2011</v>
      </c>
      <c r="C211" t="s">
        <v>59</v>
      </c>
      <c r="D211" t="s">
        <v>36</v>
      </c>
      <c r="E211" t="s">
        <v>22</v>
      </c>
      <c r="F211">
        <v>29.6</v>
      </c>
      <c r="G211" t="s">
        <v>19</v>
      </c>
      <c r="H211" t="s">
        <v>28</v>
      </c>
      <c r="I211">
        <v>120000</v>
      </c>
      <c r="J211">
        <v>5</v>
      </c>
      <c r="K211">
        <v>600000</v>
      </c>
    </row>
    <row r="212" spans="1:11" x14ac:dyDescent="0.3">
      <c r="A212" s="1">
        <v>43247</v>
      </c>
      <c r="B212">
        <v>1990</v>
      </c>
      <c r="C212" t="s">
        <v>72</v>
      </c>
      <c r="D212" t="s">
        <v>12</v>
      </c>
      <c r="E212" t="s">
        <v>67</v>
      </c>
      <c r="F212">
        <v>5.3</v>
      </c>
      <c r="G212" t="s">
        <v>23</v>
      </c>
      <c r="H212" t="s">
        <v>28</v>
      </c>
      <c r="I212">
        <v>55000</v>
      </c>
      <c r="J212">
        <v>5</v>
      </c>
      <c r="K212">
        <v>275000</v>
      </c>
    </row>
    <row r="213" spans="1:11" x14ac:dyDescent="0.3">
      <c r="A213" s="1">
        <v>44836</v>
      </c>
      <c r="B213">
        <v>2012</v>
      </c>
      <c r="C213" t="s">
        <v>37</v>
      </c>
      <c r="D213" t="s">
        <v>36</v>
      </c>
      <c r="E213" t="s">
        <v>53</v>
      </c>
      <c r="F213">
        <v>29.1</v>
      </c>
      <c r="G213" t="s">
        <v>32</v>
      </c>
      <c r="H213" t="s">
        <v>15</v>
      </c>
      <c r="I213">
        <v>29000</v>
      </c>
      <c r="J213">
        <v>5</v>
      </c>
      <c r="K213">
        <v>145000</v>
      </c>
    </row>
    <row r="214" spans="1:11" x14ac:dyDescent="0.3">
      <c r="A214" s="1">
        <v>44940</v>
      </c>
      <c r="B214">
        <v>2016</v>
      </c>
      <c r="C214" t="s">
        <v>20</v>
      </c>
      <c r="D214" t="s">
        <v>21</v>
      </c>
      <c r="E214" t="s">
        <v>18</v>
      </c>
      <c r="F214">
        <v>30.1</v>
      </c>
      <c r="G214" t="s">
        <v>32</v>
      </c>
      <c r="H214" t="s">
        <v>28</v>
      </c>
      <c r="I214">
        <v>50000</v>
      </c>
      <c r="J214">
        <v>5</v>
      </c>
      <c r="K214">
        <v>250000</v>
      </c>
    </row>
    <row r="215" spans="1:11" x14ac:dyDescent="0.3">
      <c r="A215" s="1">
        <v>42843</v>
      </c>
      <c r="B215">
        <v>1991</v>
      </c>
      <c r="C215" t="s">
        <v>61</v>
      </c>
      <c r="D215" t="s">
        <v>56</v>
      </c>
      <c r="E215" t="s">
        <v>69</v>
      </c>
      <c r="F215">
        <v>8.6999999999999993</v>
      </c>
      <c r="G215" t="s">
        <v>51</v>
      </c>
      <c r="H215" t="s">
        <v>28</v>
      </c>
      <c r="I215">
        <v>30000</v>
      </c>
      <c r="J215">
        <v>4</v>
      </c>
      <c r="K215">
        <v>120000</v>
      </c>
    </row>
    <row r="216" spans="1:11" x14ac:dyDescent="0.3">
      <c r="A216" s="1">
        <v>43876</v>
      </c>
      <c r="B216">
        <v>1991</v>
      </c>
      <c r="C216" t="s">
        <v>29</v>
      </c>
      <c r="D216" t="s">
        <v>48</v>
      </c>
      <c r="E216" t="s">
        <v>49</v>
      </c>
      <c r="F216">
        <v>8.1999999999999993</v>
      </c>
      <c r="G216" t="s">
        <v>43</v>
      </c>
      <c r="H216" t="s">
        <v>15</v>
      </c>
      <c r="I216">
        <v>24000</v>
      </c>
      <c r="J216">
        <v>4</v>
      </c>
      <c r="K216">
        <v>96000</v>
      </c>
    </row>
    <row r="217" spans="1:11" x14ac:dyDescent="0.3">
      <c r="A217" s="1">
        <v>43825</v>
      </c>
      <c r="B217">
        <v>2009</v>
      </c>
      <c r="C217" t="s">
        <v>20</v>
      </c>
      <c r="D217" t="s">
        <v>36</v>
      </c>
      <c r="E217" t="s">
        <v>42</v>
      </c>
      <c r="F217">
        <v>25.6</v>
      </c>
      <c r="G217" t="s">
        <v>46</v>
      </c>
      <c r="H217" t="s">
        <v>28</v>
      </c>
      <c r="I217">
        <v>50000</v>
      </c>
      <c r="J217">
        <v>1</v>
      </c>
      <c r="K217">
        <v>50000</v>
      </c>
    </row>
    <row r="218" spans="1:11" x14ac:dyDescent="0.3">
      <c r="A218" s="1">
        <v>42998</v>
      </c>
      <c r="B218">
        <v>2020</v>
      </c>
      <c r="C218" t="s">
        <v>35</v>
      </c>
      <c r="D218" t="s">
        <v>36</v>
      </c>
      <c r="E218" t="s">
        <v>53</v>
      </c>
      <c r="F218">
        <v>37.4</v>
      </c>
      <c r="G218" t="s">
        <v>63</v>
      </c>
      <c r="H218" t="s">
        <v>28</v>
      </c>
      <c r="I218">
        <v>140000</v>
      </c>
      <c r="J218">
        <v>3</v>
      </c>
      <c r="K218">
        <v>420000</v>
      </c>
    </row>
    <row r="219" spans="1:11" x14ac:dyDescent="0.3">
      <c r="A219" s="1">
        <v>43049</v>
      </c>
      <c r="B219">
        <v>2011</v>
      </c>
      <c r="C219" t="s">
        <v>72</v>
      </c>
      <c r="D219" t="s">
        <v>40</v>
      </c>
      <c r="E219" t="s">
        <v>53</v>
      </c>
      <c r="F219">
        <v>28.4</v>
      </c>
      <c r="G219" t="s">
        <v>43</v>
      </c>
      <c r="H219" t="s">
        <v>15</v>
      </c>
      <c r="I219">
        <v>55000</v>
      </c>
      <c r="J219">
        <v>1</v>
      </c>
      <c r="K219">
        <v>55000</v>
      </c>
    </row>
    <row r="220" spans="1:11" x14ac:dyDescent="0.3">
      <c r="A220" s="1">
        <v>44149</v>
      </c>
      <c r="B220">
        <v>2005</v>
      </c>
      <c r="C220" t="s">
        <v>61</v>
      </c>
      <c r="D220" t="s">
        <v>48</v>
      </c>
      <c r="E220" t="s">
        <v>45</v>
      </c>
      <c r="F220">
        <v>22.1</v>
      </c>
      <c r="G220" t="s">
        <v>14</v>
      </c>
      <c r="H220" t="s">
        <v>15</v>
      </c>
      <c r="I220">
        <v>30000</v>
      </c>
      <c r="J220">
        <v>2</v>
      </c>
      <c r="K220">
        <v>60000</v>
      </c>
    </row>
    <row r="221" spans="1:11" x14ac:dyDescent="0.3">
      <c r="A221" s="1">
        <v>43138</v>
      </c>
      <c r="B221">
        <v>2003</v>
      </c>
      <c r="C221" t="s">
        <v>59</v>
      </c>
      <c r="D221" t="s">
        <v>48</v>
      </c>
      <c r="E221" t="s">
        <v>42</v>
      </c>
      <c r="F221">
        <v>20.3</v>
      </c>
      <c r="G221" t="s">
        <v>32</v>
      </c>
      <c r="H221" t="s">
        <v>15</v>
      </c>
      <c r="I221">
        <v>120000</v>
      </c>
      <c r="J221">
        <v>4</v>
      </c>
      <c r="K221">
        <v>480000</v>
      </c>
    </row>
    <row r="222" spans="1:11" x14ac:dyDescent="0.3">
      <c r="A222" s="1">
        <v>43887</v>
      </c>
      <c r="B222">
        <v>2008</v>
      </c>
      <c r="C222" t="s">
        <v>71</v>
      </c>
      <c r="D222" t="s">
        <v>56</v>
      </c>
      <c r="E222" t="s">
        <v>58</v>
      </c>
      <c r="F222">
        <v>22.2</v>
      </c>
      <c r="G222" t="s">
        <v>43</v>
      </c>
      <c r="H222" t="s">
        <v>28</v>
      </c>
      <c r="I222">
        <v>26000</v>
      </c>
      <c r="J222">
        <v>5</v>
      </c>
      <c r="K222">
        <v>130000</v>
      </c>
    </row>
    <row r="223" spans="1:11" x14ac:dyDescent="0.3">
      <c r="A223" s="1">
        <v>42269</v>
      </c>
      <c r="B223">
        <v>2006</v>
      </c>
      <c r="C223" t="s">
        <v>24</v>
      </c>
      <c r="D223" t="s">
        <v>17</v>
      </c>
      <c r="E223" t="s">
        <v>70</v>
      </c>
      <c r="F223">
        <v>18.600000000000001</v>
      </c>
      <c r="G223" t="s">
        <v>51</v>
      </c>
      <c r="H223" t="s">
        <v>15</v>
      </c>
      <c r="I223">
        <v>45000</v>
      </c>
      <c r="J223">
        <v>2</v>
      </c>
      <c r="K223">
        <v>90000</v>
      </c>
    </row>
    <row r="224" spans="1:11" x14ac:dyDescent="0.3">
      <c r="A224" s="1">
        <v>45150</v>
      </c>
      <c r="B224">
        <v>2019</v>
      </c>
      <c r="C224" t="s">
        <v>37</v>
      </c>
      <c r="D224" t="s">
        <v>48</v>
      </c>
      <c r="E224" t="s">
        <v>41</v>
      </c>
      <c r="F224">
        <v>32.700000000000003</v>
      </c>
      <c r="G224" t="s">
        <v>54</v>
      </c>
      <c r="H224" t="s">
        <v>15</v>
      </c>
      <c r="I224">
        <v>29000</v>
      </c>
      <c r="J224">
        <v>3</v>
      </c>
      <c r="K224">
        <v>87000</v>
      </c>
    </row>
    <row r="225" spans="1:11" x14ac:dyDescent="0.3">
      <c r="A225" s="1">
        <v>43409</v>
      </c>
      <c r="B225">
        <v>2011</v>
      </c>
      <c r="C225" t="s">
        <v>73</v>
      </c>
      <c r="D225" t="s">
        <v>17</v>
      </c>
      <c r="E225" t="s">
        <v>42</v>
      </c>
      <c r="F225">
        <v>24.6</v>
      </c>
      <c r="G225" t="s">
        <v>63</v>
      </c>
      <c r="H225" t="s">
        <v>28</v>
      </c>
      <c r="I225">
        <v>55000</v>
      </c>
      <c r="J225">
        <v>5</v>
      </c>
      <c r="K225">
        <v>275000</v>
      </c>
    </row>
    <row r="226" spans="1:11" x14ac:dyDescent="0.3">
      <c r="A226" s="1">
        <v>44404</v>
      </c>
      <c r="B226">
        <v>1997</v>
      </c>
      <c r="C226" t="s">
        <v>68</v>
      </c>
      <c r="D226" t="s">
        <v>25</v>
      </c>
      <c r="E226" t="s">
        <v>18</v>
      </c>
      <c r="F226">
        <v>14</v>
      </c>
      <c r="G226" t="s">
        <v>43</v>
      </c>
      <c r="H226" t="s">
        <v>28</v>
      </c>
      <c r="I226">
        <v>23000</v>
      </c>
      <c r="J226">
        <v>1</v>
      </c>
      <c r="K226">
        <v>23000</v>
      </c>
    </row>
    <row r="227" spans="1:11" x14ac:dyDescent="0.3">
      <c r="A227" s="1">
        <v>43817</v>
      </c>
      <c r="B227">
        <v>2015</v>
      </c>
      <c r="C227" t="s">
        <v>72</v>
      </c>
      <c r="D227" t="s">
        <v>48</v>
      </c>
      <c r="E227" t="s">
        <v>13</v>
      </c>
      <c r="F227">
        <v>32.4</v>
      </c>
      <c r="G227" t="s">
        <v>32</v>
      </c>
      <c r="H227" t="s">
        <v>15</v>
      </c>
      <c r="I227">
        <v>55000</v>
      </c>
      <c r="J227">
        <v>3</v>
      </c>
      <c r="K227">
        <v>165000</v>
      </c>
    </row>
    <row r="228" spans="1:11" x14ac:dyDescent="0.3">
      <c r="A228" s="1">
        <v>43107</v>
      </c>
      <c r="B228">
        <v>2013</v>
      </c>
      <c r="C228" t="s">
        <v>44</v>
      </c>
      <c r="D228" t="s">
        <v>12</v>
      </c>
      <c r="E228" t="s">
        <v>41</v>
      </c>
      <c r="F228">
        <v>29.5</v>
      </c>
      <c r="G228" t="s">
        <v>19</v>
      </c>
      <c r="H228" t="s">
        <v>28</v>
      </c>
      <c r="I228">
        <v>180000</v>
      </c>
      <c r="J228">
        <v>4</v>
      </c>
      <c r="K228">
        <v>720000</v>
      </c>
    </row>
    <row r="229" spans="1:11" x14ac:dyDescent="0.3">
      <c r="A229" s="1">
        <v>43000</v>
      </c>
      <c r="B229">
        <v>1990</v>
      </c>
      <c r="C229" t="s">
        <v>55</v>
      </c>
      <c r="D229" t="s">
        <v>12</v>
      </c>
      <c r="E229" t="s">
        <v>45</v>
      </c>
      <c r="F229">
        <v>6.8</v>
      </c>
      <c r="G229" t="s">
        <v>63</v>
      </c>
      <c r="H229" t="s">
        <v>15</v>
      </c>
      <c r="I229">
        <v>28000</v>
      </c>
      <c r="J229">
        <v>5</v>
      </c>
      <c r="K229">
        <v>140000</v>
      </c>
    </row>
    <row r="230" spans="1:11" x14ac:dyDescent="0.3">
      <c r="A230" s="1">
        <v>45114</v>
      </c>
      <c r="B230">
        <v>1991</v>
      </c>
      <c r="C230" t="s">
        <v>20</v>
      </c>
      <c r="D230" t="s">
        <v>62</v>
      </c>
      <c r="E230" t="s">
        <v>67</v>
      </c>
      <c r="F230">
        <v>3.4</v>
      </c>
      <c r="G230" t="s">
        <v>63</v>
      </c>
      <c r="H230" t="s">
        <v>28</v>
      </c>
      <c r="I230">
        <v>50000</v>
      </c>
      <c r="J230">
        <v>2</v>
      </c>
      <c r="K230">
        <v>100000</v>
      </c>
    </row>
    <row r="231" spans="1:11" x14ac:dyDescent="0.3">
      <c r="A231" s="1">
        <v>45747</v>
      </c>
      <c r="B231">
        <v>2003</v>
      </c>
      <c r="C231" t="s">
        <v>71</v>
      </c>
      <c r="D231" t="s">
        <v>21</v>
      </c>
      <c r="E231" t="s">
        <v>31</v>
      </c>
      <c r="F231">
        <v>16.399999999999999</v>
      </c>
      <c r="G231" t="s">
        <v>46</v>
      </c>
      <c r="H231" t="s">
        <v>28</v>
      </c>
      <c r="I231">
        <v>26000</v>
      </c>
      <c r="J231">
        <v>5</v>
      </c>
      <c r="K231">
        <v>130000</v>
      </c>
    </row>
    <row r="232" spans="1:11" x14ac:dyDescent="0.3">
      <c r="A232" s="1">
        <v>45414</v>
      </c>
      <c r="B232">
        <v>1995</v>
      </c>
      <c r="C232" t="s">
        <v>55</v>
      </c>
      <c r="D232" t="s">
        <v>48</v>
      </c>
      <c r="E232" t="s">
        <v>67</v>
      </c>
      <c r="F232">
        <v>10.199999999999999</v>
      </c>
      <c r="G232" t="s">
        <v>23</v>
      </c>
      <c r="H232" t="s">
        <v>28</v>
      </c>
      <c r="I232">
        <v>28000</v>
      </c>
      <c r="J232">
        <v>2</v>
      </c>
      <c r="K232">
        <v>56000</v>
      </c>
    </row>
    <row r="233" spans="1:11" x14ac:dyDescent="0.3">
      <c r="A233" s="1">
        <v>43388</v>
      </c>
      <c r="B233">
        <v>1996</v>
      </c>
      <c r="C233" t="s">
        <v>73</v>
      </c>
      <c r="D233" t="s">
        <v>40</v>
      </c>
      <c r="E233" t="s">
        <v>34</v>
      </c>
      <c r="F233">
        <v>12.1</v>
      </c>
      <c r="G233" t="s">
        <v>63</v>
      </c>
      <c r="H233" t="s">
        <v>28</v>
      </c>
      <c r="I233">
        <v>55000</v>
      </c>
      <c r="J233">
        <v>5</v>
      </c>
      <c r="K233">
        <v>275000</v>
      </c>
    </row>
    <row r="234" spans="1:11" x14ac:dyDescent="0.3">
      <c r="A234" s="1">
        <v>42490</v>
      </c>
      <c r="B234">
        <v>2002</v>
      </c>
      <c r="C234" t="s">
        <v>33</v>
      </c>
      <c r="D234" t="s">
        <v>36</v>
      </c>
      <c r="E234" t="s">
        <v>69</v>
      </c>
      <c r="F234">
        <v>18.399999999999999</v>
      </c>
      <c r="G234" t="s">
        <v>54</v>
      </c>
      <c r="H234" t="s">
        <v>28</v>
      </c>
      <c r="I234">
        <v>47000</v>
      </c>
      <c r="J234">
        <v>5</v>
      </c>
      <c r="K234">
        <v>235000</v>
      </c>
    </row>
    <row r="235" spans="1:11" x14ac:dyDescent="0.3">
      <c r="A235" s="1">
        <v>44884</v>
      </c>
      <c r="B235">
        <v>1992</v>
      </c>
      <c r="C235" t="s">
        <v>39</v>
      </c>
      <c r="D235" t="s">
        <v>36</v>
      </c>
      <c r="E235" t="s">
        <v>45</v>
      </c>
      <c r="F235">
        <v>7.2</v>
      </c>
      <c r="G235" t="s">
        <v>63</v>
      </c>
      <c r="H235" t="s">
        <v>15</v>
      </c>
      <c r="I235">
        <v>32000</v>
      </c>
      <c r="J235">
        <v>1</v>
      </c>
      <c r="K235">
        <v>32000</v>
      </c>
    </row>
    <row r="236" spans="1:11" x14ac:dyDescent="0.3">
      <c r="A236" s="1">
        <v>42981</v>
      </c>
      <c r="B236">
        <v>2018</v>
      </c>
      <c r="C236" t="s">
        <v>57</v>
      </c>
      <c r="D236" t="s">
        <v>48</v>
      </c>
      <c r="E236" t="s">
        <v>42</v>
      </c>
      <c r="F236">
        <v>33.799999999999997</v>
      </c>
      <c r="G236" t="s">
        <v>32</v>
      </c>
      <c r="H236" t="s">
        <v>28</v>
      </c>
      <c r="I236">
        <v>25000</v>
      </c>
      <c r="J236">
        <v>5</v>
      </c>
      <c r="K236">
        <v>125000</v>
      </c>
    </row>
    <row r="237" spans="1:11" x14ac:dyDescent="0.3">
      <c r="A237" s="1">
        <v>43092</v>
      </c>
      <c r="B237">
        <v>2018</v>
      </c>
      <c r="C237" t="s">
        <v>16</v>
      </c>
      <c r="D237" t="s">
        <v>62</v>
      </c>
      <c r="E237" t="s">
        <v>49</v>
      </c>
      <c r="F237">
        <v>32.5</v>
      </c>
      <c r="G237" t="s">
        <v>23</v>
      </c>
      <c r="H237" t="s">
        <v>28</v>
      </c>
      <c r="I237">
        <v>80000</v>
      </c>
      <c r="J237">
        <v>4</v>
      </c>
      <c r="K237">
        <v>320000</v>
      </c>
    </row>
    <row r="238" spans="1:11" x14ac:dyDescent="0.3">
      <c r="A238" s="1">
        <v>45349</v>
      </c>
      <c r="B238">
        <v>2011</v>
      </c>
      <c r="C238" t="s">
        <v>29</v>
      </c>
      <c r="D238" t="s">
        <v>17</v>
      </c>
      <c r="E238" t="s">
        <v>69</v>
      </c>
      <c r="F238">
        <v>24.7</v>
      </c>
      <c r="G238" t="s">
        <v>54</v>
      </c>
      <c r="H238" t="s">
        <v>28</v>
      </c>
      <c r="I238">
        <v>24000</v>
      </c>
      <c r="J238">
        <v>4</v>
      </c>
      <c r="K238">
        <v>96000</v>
      </c>
    </row>
    <row r="239" spans="1:11" x14ac:dyDescent="0.3">
      <c r="A239" s="1">
        <v>45577</v>
      </c>
      <c r="B239">
        <v>1995</v>
      </c>
      <c r="C239" t="s">
        <v>72</v>
      </c>
      <c r="D239" t="s">
        <v>17</v>
      </c>
      <c r="E239" t="s">
        <v>26</v>
      </c>
      <c r="F239">
        <v>12</v>
      </c>
      <c r="G239" t="s">
        <v>27</v>
      </c>
      <c r="H239" t="s">
        <v>28</v>
      </c>
      <c r="I239">
        <v>55000</v>
      </c>
      <c r="J239">
        <v>4</v>
      </c>
      <c r="K239">
        <v>220000</v>
      </c>
    </row>
    <row r="240" spans="1:11" x14ac:dyDescent="0.3">
      <c r="A240" s="1">
        <v>43325</v>
      </c>
      <c r="B240">
        <v>2014</v>
      </c>
      <c r="C240" t="s">
        <v>61</v>
      </c>
      <c r="D240" t="s">
        <v>36</v>
      </c>
      <c r="E240" t="s">
        <v>69</v>
      </c>
      <c r="F240">
        <v>31.5</v>
      </c>
      <c r="G240" t="s">
        <v>23</v>
      </c>
      <c r="H240" t="s">
        <v>28</v>
      </c>
      <c r="I240">
        <v>30000</v>
      </c>
      <c r="J240">
        <v>4</v>
      </c>
      <c r="K240">
        <v>120000</v>
      </c>
    </row>
    <row r="241" spans="1:11" x14ac:dyDescent="0.3">
      <c r="A241" s="1">
        <v>45782</v>
      </c>
      <c r="B241">
        <v>2009</v>
      </c>
      <c r="C241" t="s">
        <v>72</v>
      </c>
      <c r="D241" t="s">
        <v>56</v>
      </c>
      <c r="E241" t="s">
        <v>41</v>
      </c>
      <c r="F241">
        <v>22.6</v>
      </c>
      <c r="G241" t="s">
        <v>43</v>
      </c>
      <c r="H241" t="s">
        <v>28</v>
      </c>
      <c r="I241">
        <v>55000</v>
      </c>
      <c r="J241">
        <v>1</v>
      </c>
      <c r="K241">
        <v>55000</v>
      </c>
    </row>
    <row r="242" spans="1:11" x14ac:dyDescent="0.3">
      <c r="A242" s="1">
        <v>44836</v>
      </c>
      <c r="B242">
        <v>2014</v>
      </c>
      <c r="C242" t="s">
        <v>50</v>
      </c>
      <c r="D242" t="s">
        <v>17</v>
      </c>
      <c r="E242" t="s">
        <v>65</v>
      </c>
      <c r="F242">
        <v>30.6</v>
      </c>
      <c r="G242" t="s">
        <v>51</v>
      </c>
      <c r="H242" t="s">
        <v>28</v>
      </c>
      <c r="I242">
        <v>160000</v>
      </c>
      <c r="J242">
        <v>4</v>
      </c>
      <c r="K242">
        <v>640000</v>
      </c>
    </row>
    <row r="243" spans="1:11" x14ac:dyDescent="0.3">
      <c r="A243" s="1">
        <v>43058</v>
      </c>
      <c r="B243">
        <v>2003</v>
      </c>
      <c r="C243" t="s">
        <v>73</v>
      </c>
      <c r="D243" t="s">
        <v>40</v>
      </c>
      <c r="E243" t="s">
        <v>69</v>
      </c>
      <c r="F243">
        <v>18.100000000000001</v>
      </c>
      <c r="G243" t="s">
        <v>27</v>
      </c>
      <c r="H243" t="s">
        <v>15</v>
      </c>
      <c r="I243">
        <v>55000</v>
      </c>
      <c r="J243">
        <v>4</v>
      </c>
      <c r="K243">
        <v>220000</v>
      </c>
    </row>
    <row r="244" spans="1:11" x14ac:dyDescent="0.3">
      <c r="A244" s="1">
        <v>44637</v>
      </c>
      <c r="B244">
        <v>2001</v>
      </c>
      <c r="C244" t="s">
        <v>71</v>
      </c>
      <c r="D244" t="s">
        <v>48</v>
      </c>
      <c r="E244" t="s">
        <v>70</v>
      </c>
      <c r="F244">
        <v>18.7</v>
      </c>
      <c r="G244" t="s">
        <v>19</v>
      </c>
      <c r="H244" t="s">
        <v>28</v>
      </c>
      <c r="I244">
        <v>26000</v>
      </c>
      <c r="J244">
        <v>3</v>
      </c>
      <c r="K244">
        <v>78000</v>
      </c>
    </row>
    <row r="245" spans="1:11" x14ac:dyDescent="0.3">
      <c r="A245" s="1">
        <v>42358</v>
      </c>
      <c r="B245">
        <v>2000</v>
      </c>
      <c r="C245" t="s">
        <v>68</v>
      </c>
      <c r="D245" t="s">
        <v>56</v>
      </c>
      <c r="E245" t="s">
        <v>18</v>
      </c>
      <c r="F245">
        <v>16.100000000000001</v>
      </c>
      <c r="G245" t="s">
        <v>27</v>
      </c>
      <c r="H245" t="s">
        <v>28</v>
      </c>
      <c r="I245">
        <v>23000</v>
      </c>
      <c r="J245">
        <v>5</v>
      </c>
      <c r="K245">
        <v>115000</v>
      </c>
    </row>
    <row r="246" spans="1:11" x14ac:dyDescent="0.3">
      <c r="A246" s="1">
        <v>43665</v>
      </c>
      <c r="B246">
        <v>2020</v>
      </c>
      <c r="C246" t="s">
        <v>64</v>
      </c>
      <c r="D246" t="s">
        <v>36</v>
      </c>
      <c r="E246" t="s">
        <v>41</v>
      </c>
      <c r="F246">
        <v>33.4</v>
      </c>
      <c r="G246" t="s">
        <v>63</v>
      </c>
      <c r="H246" t="s">
        <v>15</v>
      </c>
      <c r="I246">
        <v>50000</v>
      </c>
      <c r="J246">
        <v>4</v>
      </c>
      <c r="K246">
        <v>200000</v>
      </c>
    </row>
    <row r="247" spans="1:11" x14ac:dyDescent="0.3">
      <c r="A247" s="1">
        <v>42328</v>
      </c>
      <c r="B247">
        <v>2006</v>
      </c>
      <c r="C247" t="s">
        <v>71</v>
      </c>
      <c r="D247" t="s">
        <v>25</v>
      </c>
      <c r="E247" t="s">
        <v>47</v>
      </c>
      <c r="F247">
        <v>24.4</v>
      </c>
      <c r="G247" t="s">
        <v>32</v>
      </c>
      <c r="H247" t="s">
        <v>15</v>
      </c>
      <c r="I247">
        <v>26000</v>
      </c>
      <c r="J247">
        <v>3</v>
      </c>
      <c r="K247">
        <v>78000</v>
      </c>
    </row>
    <row r="248" spans="1:11" x14ac:dyDescent="0.3">
      <c r="A248" s="1">
        <v>42619</v>
      </c>
      <c r="B248">
        <v>1997</v>
      </c>
      <c r="C248" t="s">
        <v>50</v>
      </c>
      <c r="D248" t="s">
        <v>25</v>
      </c>
      <c r="E248" t="s">
        <v>49</v>
      </c>
      <c r="F248">
        <v>12.3</v>
      </c>
      <c r="G248" t="s">
        <v>14</v>
      </c>
      <c r="H248" t="s">
        <v>15</v>
      </c>
      <c r="I248">
        <v>160000</v>
      </c>
      <c r="J248">
        <v>3</v>
      </c>
      <c r="K248">
        <v>480000</v>
      </c>
    </row>
    <row r="249" spans="1:11" x14ac:dyDescent="0.3">
      <c r="A249" s="1">
        <v>44479</v>
      </c>
      <c r="B249">
        <v>2021</v>
      </c>
      <c r="C249" t="s">
        <v>39</v>
      </c>
      <c r="D249" t="s">
        <v>12</v>
      </c>
      <c r="E249" t="s">
        <v>49</v>
      </c>
      <c r="F249">
        <v>34.1</v>
      </c>
      <c r="G249" t="s">
        <v>54</v>
      </c>
      <c r="H249" t="s">
        <v>15</v>
      </c>
      <c r="I249">
        <v>32000</v>
      </c>
      <c r="J249">
        <v>3</v>
      </c>
      <c r="K249">
        <v>96000</v>
      </c>
    </row>
    <row r="250" spans="1:11" x14ac:dyDescent="0.3">
      <c r="A250" s="1">
        <v>43298</v>
      </c>
      <c r="B250">
        <v>2022</v>
      </c>
      <c r="C250" t="s">
        <v>64</v>
      </c>
      <c r="D250" t="s">
        <v>30</v>
      </c>
      <c r="E250" t="s">
        <v>42</v>
      </c>
      <c r="F250">
        <v>39.4</v>
      </c>
      <c r="G250" t="s">
        <v>32</v>
      </c>
      <c r="H250" t="s">
        <v>15</v>
      </c>
      <c r="I250">
        <v>50000</v>
      </c>
      <c r="J250">
        <v>4</v>
      </c>
      <c r="K250">
        <v>200000</v>
      </c>
    </row>
    <row r="251" spans="1:11" x14ac:dyDescent="0.3">
      <c r="A251" s="1">
        <v>43504</v>
      </c>
      <c r="B251">
        <v>1993</v>
      </c>
      <c r="C251" t="s">
        <v>16</v>
      </c>
      <c r="D251" t="s">
        <v>30</v>
      </c>
      <c r="E251" t="s">
        <v>58</v>
      </c>
      <c r="F251">
        <v>5.5</v>
      </c>
      <c r="G251" t="s">
        <v>27</v>
      </c>
      <c r="H251" t="s">
        <v>28</v>
      </c>
      <c r="I251">
        <v>80000</v>
      </c>
      <c r="J251">
        <v>4</v>
      </c>
      <c r="K251">
        <v>320000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EC4E9-C4C8-412C-86E3-190FED543B08}">
  <dimension ref="A1"/>
  <sheetViews>
    <sheetView topLeftCell="A14" zoomScale="70" zoomScaleNormal="70" workbookViewId="0">
      <selection activeCell="Z33" sqref="Z33:AA3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6000B-BE14-4164-AA28-CFD1E442AB91}">
  <dimension ref="A1"/>
  <sheetViews>
    <sheetView tabSelected="1" topLeftCell="A21" zoomScale="70" zoomScaleNormal="7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625BB-FB13-4C27-B1DF-A07F3A4B2D2F}">
  <dimension ref="B2:E10"/>
  <sheetViews>
    <sheetView topLeftCell="A2" zoomScaleNormal="100" workbookViewId="0">
      <selection activeCell="D33" sqref="D32:E33"/>
    </sheetView>
  </sheetViews>
  <sheetFormatPr defaultRowHeight="14.4" x14ac:dyDescent="0.3"/>
  <cols>
    <col min="2" max="2" width="17.5546875" style="3" bestFit="1" customWidth="1"/>
    <col min="3" max="3" width="14.21875" bestFit="1" customWidth="1"/>
    <col min="4" max="4" width="13.109375" bestFit="1" customWidth="1"/>
    <col min="5" max="5" width="18.109375" bestFit="1" customWidth="1"/>
  </cols>
  <sheetData>
    <row r="2" spans="2:5" x14ac:dyDescent="0.3">
      <c r="B2" s="4" t="s">
        <v>74</v>
      </c>
      <c r="C2" t="s">
        <v>75</v>
      </c>
      <c r="D2" t="s">
        <v>76</v>
      </c>
      <c r="E2" t="s">
        <v>78</v>
      </c>
    </row>
    <row r="3" spans="2:5" x14ac:dyDescent="0.3">
      <c r="B3" s="4">
        <v>48102000</v>
      </c>
      <c r="C3" s="2">
        <v>777</v>
      </c>
      <c r="D3" s="2">
        <v>250</v>
      </c>
      <c r="E3" s="4">
        <v>61384</v>
      </c>
    </row>
    <row r="9" spans="2:5" x14ac:dyDescent="0.3">
      <c r="C9" t="s">
        <v>77</v>
      </c>
    </row>
    <row r="10" spans="2:5" x14ac:dyDescent="0.3">
      <c r="C10" s="2">
        <v>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A3B39-6C48-4770-B3C4-DE308740F932}">
  <dimension ref="B2:C25"/>
  <sheetViews>
    <sheetView zoomScaleNormal="100" workbookViewId="0">
      <selection activeCell="N16" sqref="N16"/>
    </sheetView>
  </sheetViews>
  <sheetFormatPr defaultRowHeight="14.4" x14ac:dyDescent="0.3"/>
  <cols>
    <col min="2" max="2" width="13.6640625" bestFit="1" customWidth="1"/>
    <col min="3" max="3" width="17.5546875" style="3" bestFit="1" customWidth="1"/>
  </cols>
  <sheetData>
    <row r="2" spans="2:3" x14ac:dyDescent="0.3">
      <c r="B2" s="5" t="s">
        <v>79</v>
      </c>
      <c r="C2" s="4" t="s">
        <v>74</v>
      </c>
    </row>
    <row r="3" spans="2:3" x14ac:dyDescent="0.3">
      <c r="B3" s="6" t="s">
        <v>50</v>
      </c>
      <c r="C3" s="4">
        <v>6880000</v>
      </c>
    </row>
    <row r="4" spans="2:3" x14ac:dyDescent="0.3">
      <c r="B4" s="6" t="s">
        <v>35</v>
      </c>
      <c r="C4" s="4">
        <v>6580000</v>
      </c>
    </row>
    <row r="5" spans="2:3" x14ac:dyDescent="0.3">
      <c r="B5" s="6" t="s">
        <v>44</v>
      </c>
      <c r="C5" s="4">
        <v>5040000</v>
      </c>
    </row>
    <row r="6" spans="2:3" x14ac:dyDescent="0.3">
      <c r="B6" s="6" t="s">
        <v>16</v>
      </c>
      <c r="C6" s="4">
        <v>4400000</v>
      </c>
    </row>
    <row r="7" spans="2:3" x14ac:dyDescent="0.3">
      <c r="B7" s="6" t="s">
        <v>59</v>
      </c>
      <c r="C7" s="4">
        <v>2640000</v>
      </c>
    </row>
    <row r="8" spans="2:3" x14ac:dyDescent="0.3">
      <c r="B8" s="6" t="s">
        <v>11</v>
      </c>
      <c r="C8" s="4">
        <v>2240000</v>
      </c>
    </row>
    <row r="9" spans="2:3" x14ac:dyDescent="0.3">
      <c r="B9" s="6" t="s">
        <v>72</v>
      </c>
      <c r="C9" s="4">
        <v>1980000</v>
      </c>
    </row>
    <row r="10" spans="2:3" x14ac:dyDescent="0.3">
      <c r="B10" s="6" t="s">
        <v>33</v>
      </c>
      <c r="C10" s="4">
        <v>1927000</v>
      </c>
    </row>
    <row r="11" spans="2:3" x14ac:dyDescent="0.3">
      <c r="B11" s="6" t="s">
        <v>55</v>
      </c>
      <c r="C11" s="4">
        <v>1876000</v>
      </c>
    </row>
    <row r="12" spans="2:3" x14ac:dyDescent="0.3">
      <c r="B12" s="6" t="s">
        <v>20</v>
      </c>
      <c r="C12" s="4">
        <v>1750000</v>
      </c>
    </row>
    <row r="13" spans="2:3" x14ac:dyDescent="0.3">
      <c r="B13" s="6" t="s">
        <v>64</v>
      </c>
      <c r="C13" s="4">
        <v>1500000</v>
      </c>
    </row>
    <row r="14" spans="2:3" x14ac:dyDescent="0.3">
      <c r="B14" s="6" t="s">
        <v>73</v>
      </c>
      <c r="C14" s="4">
        <v>1430000</v>
      </c>
    </row>
    <row r="15" spans="2:3" x14ac:dyDescent="0.3">
      <c r="B15" s="6" t="s">
        <v>37</v>
      </c>
      <c r="C15" s="4">
        <v>1421000</v>
      </c>
    </row>
    <row r="16" spans="2:3" x14ac:dyDescent="0.3">
      <c r="B16" s="6" t="s">
        <v>60</v>
      </c>
      <c r="C16" s="4">
        <v>1320000</v>
      </c>
    </row>
    <row r="17" spans="2:3" x14ac:dyDescent="0.3">
      <c r="B17" s="6" t="s">
        <v>71</v>
      </c>
      <c r="C17" s="4">
        <v>1092000</v>
      </c>
    </row>
    <row r="18" spans="2:3" x14ac:dyDescent="0.3">
      <c r="B18" s="6" t="s">
        <v>61</v>
      </c>
      <c r="C18" s="4">
        <v>1050000</v>
      </c>
    </row>
    <row r="19" spans="2:3" x14ac:dyDescent="0.3">
      <c r="B19" s="6" t="s">
        <v>24</v>
      </c>
      <c r="C19" s="4">
        <v>945000</v>
      </c>
    </row>
    <row r="20" spans="2:3" x14ac:dyDescent="0.3">
      <c r="B20" s="6" t="s">
        <v>68</v>
      </c>
      <c r="C20" s="4">
        <v>782000</v>
      </c>
    </row>
    <row r="21" spans="2:3" x14ac:dyDescent="0.3">
      <c r="B21" s="6" t="s">
        <v>29</v>
      </c>
      <c r="C21" s="4">
        <v>768000</v>
      </c>
    </row>
    <row r="22" spans="2:3" x14ac:dyDescent="0.3">
      <c r="B22" s="6" t="s">
        <v>66</v>
      </c>
      <c r="C22" s="4">
        <v>702000</v>
      </c>
    </row>
    <row r="23" spans="2:3" x14ac:dyDescent="0.3">
      <c r="B23" s="6" t="s">
        <v>57</v>
      </c>
      <c r="C23" s="4">
        <v>675000</v>
      </c>
    </row>
    <row r="24" spans="2:3" x14ac:dyDescent="0.3">
      <c r="B24" s="6" t="s">
        <v>52</v>
      </c>
      <c r="C24" s="4">
        <v>624000</v>
      </c>
    </row>
    <row r="25" spans="2:3" x14ac:dyDescent="0.3">
      <c r="B25" s="6" t="s">
        <v>39</v>
      </c>
      <c r="C25" s="4">
        <v>480000</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066A8-C7A1-48D8-ACA9-5A4507CAAF08}">
  <dimension ref="B2:C12"/>
  <sheetViews>
    <sheetView workbookViewId="0">
      <selection activeCell="O28" sqref="O28"/>
    </sheetView>
  </sheetViews>
  <sheetFormatPr defaultRowHeight="14.4" x14ac:dyDescent="0.3"/>
  <cols>
    <col min="2" max="2" width="13.6640625" bestFit="1" customWidth="1"/>
    <col min="3" max="3" width="20.33203125" style="3" bestFit="1" customWidth="1"/>
  </cols>
  <sheetData>
    <row r="2" spans="2:3" x14ac:dyDescent="0.3">
      <c r="B2" s="5" t="s">
        <v>79</v>
      </c>
      <c r="C2" s="4" t="s">
        <v>80</v>
      </c>
    </row>
    <row r="3" spans="2:3" x14ac:dyDescent="0.3">
      <c r="B3" s="6" t="s">
        <v>44</v>
      </c>
      <c r="C3" s="4">
        <v>560000</v>
      </c>
    </row>
    <row r="4" spans="2:3" x14ac:dyDescent="0.3">
      <c r="B4" s="6" t="s">
        <v>50</v>
      </c>
      <c r="C4" s="4">
        <v>529230.76923076925</v>
      </c>
    </row>
    <row r="5" spans="2:3" x14ac:dyDescent="0.3">
      <c r="B5" s="6" t="s">
        <v>35</v>
      </c>
      <c r="C5" s="4">
        <v>470000</v>
      </c>
    </row>
    <row r="6" spans="2:3" x14ac:dyDescent="0.3">
      <c r="B6" s="6" t="s">
        <v>59</v>
      </c>
      <c r="C6" s="4">
        <v>330000</v>
      </c>
    </row>
    <row r="7" spans="2:3" x14ac:dyDescent="0.3">
      <c r="B7" s="6" t="s">
        <v>16</v>
      </c>
      <c r="C7" s="4">
        <v>275000</v>
      </c>
    </row>
    <row r="8" spans="2:3" x14ac:dyDescent="0.3">
      <c r="B8" s="6" t="s">
        <v>11</v>
      </c>
      <c r="C8" s="4">
        <v>224000</v>
      </c>
    </row>
    <row r="9" spans="2:3" x14ac:dyDescent="0.3">
      <c r="B9" s="6" t="s">
        <v>73</v>
      </c>
      <c r="C9" s="4">
        <v>204285.71428571429</v>
      </c>
    </row>
    <row r="10" spans="2:3" x14ac:dyDescent="0.3">
      <c r="B10" s="6" t="s">
        <v>60</v>
      </c>
      <c r="C10" s="4">
        <v>188571.42857142858</v>
      </c>
    </row>
    <row r="11" spans="2:3" x14ac:dyDescent="0.3">
      <c r="B11" s="6" t="s">
        <v>20</v>
      </c>
      <c r="C11" s="4">
        <v>159090.90909090909</v>
      </c>
    </row>
    <row r="12" spans="2:3" x14ac:dyDescent="0.3">
      <c r="B12" s="6" t="s">
        <v>72</v>
      </c>
      <c r="C12" s="4">
        <v>152307.69230769231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D9799-F160-4CE3-A09B-A1AFC74135E1}">
  <dimension ref="B2:C25"/>
  <sheetViews>
    <sheetView workbookViewId="0">
      <selection activeCell="B3" sqref="B3"/>
    </sheetView>
  </sheetViews>
  <sheetFormatPr defaultRowHeight="14.4" x14ac:dyDescent="0.3"/>
  <cols>
    <col min="2" max="2" width="13.6640625" bestFit="1" customWidth="1"/>
    <col min="3" max="3" width="14.21875" bestFit="1" customWidth="1"/>
  </cols>
  <sheetData>
    <row r="2" spans="2:3" x14ac:dyDescent="0.3">
      <c r="B2" s="5" t="s">
        <v>79</v>
      </c>
      <c r="C2" t="s">
        <v>75</v>
      </c>
    </row>
    <row r="3" spans="2:3" x14ac:dyDescent="0.3">
      <c r="B3" s="6" t="s">
        <v>55</v>
      </c>
      <c r="C3" s="2">
        <v>67</v>
      </c>
    </row>
    <row r="4" spans="2:3" x14ac:dyDescent="0.3">
      <c r="B4" s="6" t="s">
        <v>16</v>
      </c>
      <c r="C4" s="2">
        <v>55</v>
      </c>
    </row>
    <row r="5" spans="2:3" x14ac:dyDescent="0.3">
      <c r="B5" s="6" t="s">
        <v>37</v>
      </c>
      <c r="C5" s="2">
        <v>49</v>
      </c>
    </row>
    <row r="6" spans="2:3" x14ac:dyDescent="0.3">
      <c r="B6" s="6" t="s">
        <v>35</v>
      </c>
      <c r="C6" s="2">
        <v>47</v>
      </c>
    </row>
    <row r="7" spans="2:3" x14ac:dyDescent="0.3">
      <c r="B7" s="6" t="s">
        <v>50</v>
      </c>
      <c r="C7" s="2">
        <v>43</v>
      </c>
    </row>
    <row r="8" spans="2:3" x14ac:dyDescent="0.3">
      <c r="B8" s="6" t="s">
        <v>71</v>
      </c>
      <c r="C8" s="2">
        <v>42</v>
      </c>
    </row>
    <row r="9" spans="2:3" x14ac:dyDescent="0.3">
      <c r="B9" s="6" t="s">
        <v>33</v>
      </c>
      <c r="C9" s="2">
        <v>41</v>
      </c>
    </row>
    <row r="10" spans="2:3" x14ac:dyDescent="0.3">
      <c r="B10" s="6" t="s">
        <v>72</v>
      </c>
      <c r="C10" s="2">
        <v>36</v>
      </c>
    </row>
    <row r="11" spans="2:3" x14ac:dyDescent="0.3">
      <c r="B11" s="6" t="s">
        <v>20</v>
      </c>
      <c r="C11" s="2">
        <v>35</v>
      </c>
    </row>
    <row r="12" spans="2:3" x14ac:dyDescent="0.3">
      <c r="B12" s="6" t="s">
        <v>61</v>
      </c>
      <c r="C12" s="2">
        <v>35</v>
      </c>
    </row>
    <row r="13" spans="2:3" x14ac:dyDescent="0.3">
      <c r="B13" s="6" t="s">
        <v>68</v>
      </c>
      <c r="C13" s="2">
        <v>34</v>
      </c>
    </row>
    <row r="14" spans="2:3" x14ac:dyDescent="0.3">
      <c r="B14" s="6" t="s">
        <v>11</v>
      </c>
      <c r="C14" s="2">
        <v>32</v>
      </c>
    </row>
    <row r="15" spans="2:3" x14ac:dyDescent="0.3">
      <c r="B15" s="6" t="s">
        <v>29</v>
      </c>
      <c r="C15" s="2">
        <v>32</v>
      </c>
    </row>
    <row r="16" spans="2:3" x14ac:dyDescent="0.3">
      <c r="B16" s="6" t="s">
        <v>64</v>
      </c>
      <c r="C16" s="2">
        <v>30</v>
      </c>
    </row>
    <row r="17" spans="2:3" x14ac:dyDescent="0.3">
      <c r="B17" s="6" t="s">
        <v>44</v>
      </c>
      <c r="C17" s="2">
        <v>28</v>
      </c>
    </row>
    <row r="18" spans="2:3" x14ac:dyDescent="0.3">
      <c r="B18" s="6" t="s">
        <v>57</v>
      </c>
      <c r="C18" s="2">
        <v>27</v>
      </c>
    </row>
    <row r="19" spans="2:3" x14ac:dyDescent="0.3">
      <c r="B19" s="6" t="s">
        <v>66</v>
      </c>
      <c r="C19" s="2">
        <v>26</v>
      </c>
    </row>
    <row r="20" spans="2:3" x14ac:dyDescent="0.3">
      <c r="B20" s="6" t="s">
        <v>73</v>
      </c>
      <c r="C20" s="2">
        <v>26</v>
      </c>
    </row>
    <row r="21" spans="2:3" x14ac:dyDescent="0.3">
      <c r="B21" s="6" t="s">
        <v>60</v>
      </c>
      <c r="C21" s="2">
        <v>22</v>
      </c>
    </row>
    <row r="22" spans="2:3" x14ac:dyDescent="0.3">
      <c r="B22" s="6" t="s">
        <v>59</v>
      </c>
      <c r="C22" s="2">
        <v>22</v>
      </c>
    </row>
    <row r="23" spans="2:3" x14ac:dyDescent="0.3">
      <c r="B23" s="6" t="s">
        <v>24</v>
      </c>
      <c r="C23" s="2">
        <v>21</v>
      </c>
    </row>
    <row r="24" spans="2:3" x14ac:dyDescent="0.3">
      <c r="B24" s="6" t="s">
        <v>39</v>
      </c>
      <c r="C24" s="2">
        <v>15</v>
      </c>
    </row>
    <row r="25" spans="2:3" x14ac:dyDescent="0.3">
      <c r="B25" s="6" t="s">
        <v>52</v>
      </c>
      <c r="C25" s="2">
        <v>12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9042A-923F-4FE2-A0F7-F47802604AC7}">
  <dimension ref="B3:C13"/>
  <sheetViews>
    <sheetView workbookViewId="0">
      <selection activeCell="N32" sqref="N32"/>
    </sheetView>
  </sheetViews>
  <sheetFormatPr defaultRowHeight="14.4" x14ac:dyDescent="0.3"/>
  <cols>
    <col min="2" max="2" width="12.44140625" bestFit="1" customWidth="1"/>
    <col min="3" max="3" width="17.5546875" bestFit="1" customWidth="1"/>
  </cols>
  <sheetData>
    <row r="3" spans="2:3" x14ac:dyDescent="0.3">
      <c r="B3" s="5" t="s">
        <v>79</v>
      </c>
      <c r="C3" s="4" t="s">
        <v>74</v>
      </c>
    </row>
    <row r="4" spans="2:3" x14ac:dyDescent="0.3">
      <c r="B4" s="6" t="s">
        <v>12</v>
      </c>
      <c r="C4" s="4">
        <v>9737000</v>
      </c>
    </row>
    <row r="5" spans="2:3" x14ac:dyDescent="0.3">
      <c r="B5" s="6" t="s">
        <v>17</v>
      </c>
      <c r="C5" s="4">
        <v>7342000</v>
      </c>
    </row>
    <row r="6" spans="2:3" x14ac:dyDescent="0.3">
      <c r="B6" s="6" t="s">
        <v>36</v>
      </c>
      <c r="C6" s="4">
        <v>5865000</v>
      </c>
    </row>
    <row r="7" spans="2:3" x14ac:dyDescent="0.3">
      <c r="B7" s="6" t="s">
        <v>40</v>
      </c>
      <c r="C7" s="4">
        <v>4625000</v>
      </c>
    </row>
    <row r="8" spans="2:3" x14ac:dyDescent="0.3">
      <c r="B8" s="6" t="s">
        <v>62</v>
      </c>
      <c r="C8" s="4">
        <v>3981000</v>
      </c>
    </row>
    <row r="9" spans="2:3" x14ac:dyDescent="0.3">
      <c r="B9" s="6" t="s">
        <v>56</v>
      </c>
      <c r="C9" s="4">
        <v>3768000</v>
      </c>
    </row>
    <row r="10" spans="2:3" x14ac:dyDescent="0.3">
      <c r="B10" s="6" t="s">
        <v>48</v>
      </c>
      <c r="C10" s="4">
        <v>3587000</v>
      </c>
    </row>
    <row r="11" spans="2:3" x14ac:dyDescent="0.3">
      <c r="B11" s="6" t="s">
        <v>30</v>
      </c>
      <c r="C11" s="4">
        <v>3538000</v>
      </c>
    </row>
    <row r="12" spans="2:3" x14ac:dyDescent="0.3">
      <c r="B12" s="6" t="s">
        <v>21</v>
      </c>
      <c r="C12" s="4">
        <v>3154000</v>
      </c>
    </row>
    <row r="13" spans="2:3" x14ac:dyDescent="0.3">
      <c r="B13" s="6" t="s">
        <v>25</v>
      </c>
      <c r="C13" s="4">
        <v>2505000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F43E9-5D8A-4278-A685-C71F72E8F4A5}">
  <dimension ref="B2:C4"/>
  <sheetViews>
    <sheetView workbookViewId="0">
      <selection activeCell="E33" sqref="E33"/>
    </sheetView>
  </sheetViews>
  <sheetFormatPr defaultRowHeight="14.4" x14ac:dyDescent="0.3"/>
  <cols>
    <col min="2" max="2" width="12.44140625" bestFit="1" customWidth="1"/>
    <col min="3" max="3" width="14.21875" bestFit="1" customWidth="1"/>
  </cols>
  <sheetData>
    <row r="2" spans="2:3" x14ac:dyDescent="0.3">
      <c r="B2" s="5" t="s">
        <v>79</v>
      </c>
      <c r="C2" t="s">
        <v>75</v>
      </c>
    </row>
    <row r="3" spans="2:3" x14ac:dyDescent="0.3">
      <c r="B3" s="6" t="s">
        <v>28</v>
      </c>
      <c r="C3" s="2">
        <v>406</v>
      </c>
    </row>
    <row r="4" spans="2:3" x14ac:dyDescent="0.3">
      <c r="B4" s="6" t="s">
        <v>15</v>
      </c>
      <c r="C4" s="2">
        <v>371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C783B-E3CA-42CC-B7AA-E57A79B9805E}">
  <dimension ref="B3:C38"/>
  <sheetViews>
    <sheetView workbookViewId="0">
      <selection activeCell="C10" sqref="C10"/>
    </sheetView>
  </sheetViews>
  <sheetFormatPr defaultRowHeight="14.4" x14ac:dyDescent="0.3"/>
  <cols>
    <col min="2" max="2" width="12.44140625" bestFit="1" customWidth="1"/>
    <col min="3" max="3" width="17.5546875" bestFit="1" customWidth="1"/>
  </cols>
  <sheetData>
    <row r="3" spans="2:3" x14ac:dyDescent="0.3">
      <c r="B3" s="5" t="s">
        <v>79</v>
      </c>
      <c r="C3" s="4" t="s">
        <v>74</v>
      </c>
    </row>
    <row r="4" spans="2:3" x14ac:dyDescent="0.3">
      <c r="B4" s="6">
        <v>1990</v>
      </c>
      <c r="C4" s="4">
        <v>1383000</v>
      </c>
    </row>
    <row r="5" spans="2:3" x14ac:dyDescent="0.3">
      <c r="B5" s="6">
        <v>1991</v>
      </c>
      <c r="C5" s="4">
        <v>2134000</v>
      </c>
    </row>
    <row r="6" spans="2:3" x14ac:dyDescent="0.3">
      <c r="B6" s="6">
        <v>1992</v>
      </c>
      <c r="C6" s="4">
        <v>302000</v>
      </c>
    </row>
    <row r="7" spans="2:3" x14ac:dyDescent="0.3">
      <c r="B7" s="6">
        <v>1993</v>
      </c>
      <c r="C7" s="4">
        <v>804000</v>
      </c>
    </row>
    <row r="8" spans="2:3" x14ac:dyDescent="0.3">
      <c r="B8" s="6">
        <v>1994</v>
      </c>
      <c r="C8" s="4">
        <v>1236000</v>
      </c>
    </row>
    <row r="9" spans="2:3" x14ac:dyDescent="0.3">
      <c r="B9" s="6">
        <v>1995</v>
      </c>
      <c r="C9" s="4">
        <v>896000</v>
      </c>
    </row>
    <row r="10" spans="2:3" x14ac:dyDescent="0.3">
      <c r="B10" s="6">
        <v>1996</v>
      </c>
      <c r="C10" s="4">
        <v>1415000</v>
      </c>
    </row>
    <row r="11" spans="2:3" x14ac:dyDescent="0.3">
      <c r="B11" s="6">
        <v>1997</v>
      </c>
      <c r="C11" s="4">
        <v>1596000</v>
      </c>
    </row>
    <row r="12" spans="2:3" x14ac:dyDescent="0.3">
      <c r="B12" s="6">
        <v>1998</v>
      </c>
      <c r="C12" s="4">
        <v>1161000</v>
      </c>
    </row>
    <row r="13" spans="2:3" x14ac:dyDescent="0.3">
      <c r="B13" s="6">
        <v>1999</v>
      </c>
      <c r="C13" s="4">
        <v>337000</v>
      </c>
    </row>
    <row r="14" spans="2:3" x14ac:dyDescent="0.3">
      <c r="B14" s="6">
        <v>2000</v>
      </c>
      <c r="C14" s="4">
        <v>1200000</v>
      </c>
    </row>
    <row r="15" spans="2:3" x14ac:dyDescent="0.3">
      <c r="B15" s="6">
        <v>2001</v>
      </c>
      <c r="C15" s="4">
        <v>1287000</v>
      </c>
    </row>
    <row r="16" spans="2:3" x14ac:dyDescent="0.3">
      <c r="B16" s="6">
        <v>2002</v>
      </c>
      <c r="C16" s="4">
        <v>1211000</v>
      </c>
    </row>
    <row r="17" spans="2:3" x14ac:dyDescent="0.3">
      <c r="B17" s="6">
        <v>2003</v>
      </c>
      <c r="C17" s="4">
        <v>3707000</v>
      </c>
    </row>
    <row r="18" spans="2:3" x14ac:dyDescent="0.3">
      <c r="B18" s="6">
        <v>2004</v>
      </c>
      <c r="C18" s="4">
        <v>932000</v>
      </c>
    </row>
    <row r="19" spans="2:3" x14ac:dyDescent="0.3">
      <c r="B19" s="6">
        <v>2005</v>
      </c>
      <c r="C19" s="4">
        <v>300000</v>
      </c>
    </row>
    <row r="20" spans="2:3" x14ac:dyDescent="0.3">
      <c r="B20" s="6">
        <v>2006</v>
      </c>
      <c r="C20" s="4">
        <v>1811000</v>
      </c>
    </row>
    <row r="21" spans="2:3" x14ac:dyDescent="0.3">
      <c r="B21" s="6">
        <v>2007</v>
      </c>
      <c r="C21" s="4">
        <v>945000</v>
      </c>
    </row>
    <row r="22" spans="2:3" x14ac:dyDescent="0.3">
      <c r="B22" s="6">
        <v>2008</v>
      </c>
      <c r="C22" s="4">
        <v>1992000</v>
      </c>
    </row>
    <row r="23" spans="2:3" x14ac:dyDescent="0.3">
      <c r="B23" s="6">
        <v>2009</v>
      </c>
      <c r="C23" s="4">
        <v>2199000</v>
      </c>
    </row>
    <row r="24" spans="2:3" x14ac:dyDescent="0.3">
      <c r="B24" s="6">
        <v>2010</v>
      </c>
      <c r="C24" s="4">
        <v>2585000</v>
      </c>
    </row>
    <row r="25" spans="2:3" x14ac:dyDescent="0.3">
      <c r="B25" s="6">
        <v>2011</v>
      </c>
      <c r="C25" s="4">
        <v>2967000</v>
      </c>
    </row>
    <row r="26" spans="2:3" x14ac:dyDescent="0.3">
      <c r="B26" s="6">
        <v>2012</v>
      </c>
      <c r="C26" s="4">
        <v>2080000</v>
      </c>
    </row>
    <row r="27" spans="2:3" x14ac:dyDescent="0.3">
      <c r="B27" s="6">
        <v>2013</v>
      </c>
      <c r="C27" s="4">
        <v>1461000</v>
      </c>
    </row>
    <row r="28" spans="2:3" x14ac:dyDescent="0.3">
      <c r="B28" s="6">
        <v>2014</v>
      </c>
      <c r="C28" s="4">
        <v>2130000</v>
      </c>
    </row>
    <row r="29" spans="2:3" x14ac:dyDescent="0.3">
      <c r="B29" s="6">
        <v>2015</v>
      </c>
      <c r="C29" s="4">
        <v>656000</v>
      </c>
    </row>
    <row r="30" spans="2:3" x14ac:dyDescent="0.3">
      <c r="B30" s="6">
        <v>2016</v>
      </c>
      <c r="C30" s="4">
        <v>613000</v>
      </c>
    </row>
    <row r="31" spans="2:3" x14ac:dyDescent="0.3">
      <c r="B31" s="6">
        <v>2017</v>
      </c>
      <c r="C31" s="4">
        <v>950000</v>
      </c>
    </row>
    <row r="32" spans="2:3" x14ac:dyDescent="0.3">
      <c r="B32" s="6">
        <v>2018</v>
      </c>
      <c r="C32" s="4">
        <v>2570000</v>
      </c>
    </row>
    <row r="33" spans="2:3" x14ac:dyDescent="0.3">
      <c r="B33" s="6">
        <v>2019</v>
      </c>
      <c r="C33" s="4">
        <v>459000</v>
      </c>
    </row>
    <row r="34" spans="2:3" x14ac:dyDescent="0.3">
      <c r="B34" s="6">
        <v>2020</v>
      </c>
      <c r="C34" s="4">
        <v>1137000</v>
      </c>
    </row>
    <row r="35" spans="2:3" x14ac:dyDescent="0.3">
      <c r="B35" s="6">
        <v>2021</v>
      </c>
      <c r="C35" s="4">
        <v>830000</v>
      </c>
    </row>
    <row r="36" spans="2:3" x14ac:dyDescent="0.3">
      <c r="B36" s="6">
        <v>2022</v>
      </c>
      <c r="C36" s="4">
        <v>840000</v>
      </c>
    </row>
    <row r="37" spans="2:3" x14ac:dyDescent="0.3">
      <c r="B37" s="6">
        <v>2023</v>
      </c>
      <c r="C37" s="4">
        <v>1806000</v>
      </c>
    </row>
    <row r="38" spans="2:3" x14ac:dyDescent="0.3">
      <c r="B38" s="6">
        <v>2024</v>
      </c>
      <c r="C38" s="4">
        <v>170000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18065-2C9F-4AD3-808A-0CE8A251DCAA}">
  <dimension ref="B3:C13"/>
  <sheetViews>
    <sheetView workbookViewId="0">
      <selection activeCell="O13" sqref="O13"/>
    </sheetView>
  </sheetViews>
  <sheetFormatPr defaultRowHeight="14.4" x14ac:dyDescent="0.3"/>
  <cols>
    <col min="2" max="2" width="12.44140625" bestFit="1" customWidth="1"/>
    <col min="3" max="3" width="14.21875" bestFit="1" customWidth="1"/>
  </cols>
  <sheetData>
    <row r="3" spans="2:3" x14ac:dyDescent="0.3">
      <c r="B3" s="5" t="s">
        <v>79</v>
      </c>
      <c r="C3" t="s">
        <v>75</v>
      </c>
    </row>
    <row r="4" spans="2:3" x14ac:dyDescent="0.3">
      <c r="B4" s="6" t="s">
        <v>18</v>
      </c>
      <c r="C4" s="2">
        <v>68</v>
      </c>
    </row>
    <row r="5" spans="2:3" x14ac:dyDescent="0.3">
      <c r="B5" s="6" t="s">
        <v>53</v>
      </c>
      <c r="C5" s="2">
        <v>67</v>
      </c>
    </row>
    <row r="6" spans="2:3" x14ac:dyDescent="0.3">
      <c r="B6" s="6" t="s">
        <v>41</v>
      </c>
      <c r="C6" s="2">
        <v>66</v>
      </c>
    </row>
    <row r="7" spans="2:3" x14ac:dyDescent="0.3">
      <c r="B7" s="6" t="s">
        <v>26</v>
      </c>
      <c r="C7" s="2">
        <v>51</v>
      </c>
    </row>
    <row r="8" spans="2:3" x14ac:dyDescent="0.3">
      <c r="B8" s="6" t="s">
        <v>13</v>
      </c>
      <c r="C8" s="2">
        <v>49</v>
      </c>
    </row>
    <row r="9" spans="2:3" x14ac:dyDescent="0.3">
      <c r="B9" s="6" t="s">
        <v>22</v>
      </c>
      <c r="C9" s="2">
        <v>45</v>
      </c>
    </row>
    <row r="10" spans="2:3" x14ac:dyDescent="0.3">
      <c r="B10" s="6" t="s">
        <v>42</v>
      </c>
      <c r="C10" s="2">
        <v>45</v>
      </c>
    </row>
    <row r="11" spans="2:3" x14ac:dyDescent="0.3">
      <c r="B11" s="6" t="s">
        <v>65</v>
      </c>
      <c r="C11" s="2">
        <v>44</v>
      </c>
    </row>
    <row r="12" spans="2:3" x14ac:dyDescent="0.3">
      <c r="B12" s="6" t="s">
        <v>34</v>
      </c>
      <c r="C12" s="2">
        <v>40</v>
      </c>
    </row>
    <row r="13" spans="2:3" x14ac:dyDescent="0.3">
      <c r="B13" s="6" t="s">
        <v>49</v>
      </c>
      <c r="C13" s="2">
        <v>39</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D4B13-62E6-4D4D-84A7-3FCE7E4503BE}">
  <dimension ref="B3:C38"/>
  <sheetViews>
    <sheetView workbookViewId="0">
      <selection activeCell="L28" sqref="L28"/>
    </sheetView>
  </sheetViews>
  <sheetFormatPr defaultRowHeight="14.4" x14ac:dyDescent="0.3"/>
  <cols>
    <col min="2" max="2" width="12.44140625" bestFit="1" customWidth="1"/>
    <col min="3" max="3" width="18.109375" bestFit="1" customWidth="1"/>
  </cols>
  <sheetData>
    <row r="3" spans="2:3" x14ac:dyDescent="0.3">
      <c r="B3" s="5" t="s">
        <v>79</v>
      </c>
      <c r="C3" t="s">
        <v>81</v>
      </c>
    </row>
    <row r="4" spans="2:3" x14ac:dyDescent="0.3">
      <c r="B4" s="6">
        <v>1990</v>
      </c>
      <c r="C4" s="7">
        <v>5.1375000000000002</v>
      </c>
    </row>
    <row r="5" spans="2:3" x14ac:dyDescent="0.3">
      <c r="B5" s="6">
        <v>1991</v>
      </c>
      <c r="C5" s="7">
        <v>5.866666666666668</v>
      </c>
    </row>
    <row r="6" spans="2:3" x14ac:dyDescent="0.3">
      <c r="B6" s="6">
        <v>1992</v>
      </c>
      <c r="C6" s="7">
        <v>7.5750000000000002</v>
      </c>
    </row>
    <row r="7" spans="2:3" x14ac:dyDescent="0.3">
      <c r="B7" s="6">
        <v>1993</v>
      </c>
      <c r="C7" s="7">
        <v>7.625</v>
      </c>
    </row>
    <row r="8" spans="2:3" x14ac:dyDescent="0.3">
      <c r="B8" s="6">
        <v>1994</v>
      </c>
      <c r="C8" s="7">
        <v>10.059999999999999</v>
      </c>
    </row>
    <row r="9" spans="2:3" x14ac:dyDescent="0.3">
      <c r="B9" s="6">
        <v>1995</v>
      </c>
      <c r="C9" s="7">
        <v>11.5</v>
      </c>
    </row>
    <row r="10" spans="2:3" x14ac:dyDescent="0.3">
      <c r="B10" s="6">
        <v>1996</v>
      </c>
      <c r="C10" s="7">
        <v>11.718181818181819</v>
      </c>
    </row>
    <row r="11" spans="2:3" x14ac:dyDescent="0.3">
      <c r="B11" s="6">
        <v>1997</v>
      </c>
      <c r="C11" s="7">
        <v>12.9625</v>
      </c>
    </row>
    <row r="12" spans="2:3" x14ac:dyDescent="0.3">
      <c r="B12" s="6">
        <v>1998</v>
      </c>
      <c r="C12" s="7">
        <v>13.366666666666667</v>
      </c>
    </row>
    <row r="13" spans="2:3" x14ac:dyDescent="0.3">
      <c r="B13" s="6">
        <v>1999</v>
      </c>
      <c r="C13" s="7">
        <v>12.966666666666667</v>
      </c>
    </row>
    <row r="14" spans="2:3" x14ac:dyDescent="0.3">
      <c r="B14" s="6">
        <v>2000</v>
      </c>
      <c r="C14" s="7">
        <v>15.580000000000002</v>
      </c>
    </row>
    <row r="15" spans="2:3" x14ac:dyDescent="0.3">
      <c r="B15" s="6">
        <v>2001</v>
      </c>
      <c r="C15" s="7">
        <v>16.79</v>
      </c>
    </row>
    <row r="16" spans="2:3" x14ac:dyDescent="0.3">
      <c r="B16" s="6">
        <v>2002</v>
      </c>
      <c r="C16" s="7">
        <v>17.32</v>
      </c>
    </row>
    <row r="17" spans="2:3" x14ac:dyDescent="0.3">
      <c r="B17" s="6">
        <v>2003</v>
      </c>
      <c r="C17" s="7">
        <v>18.108333333333334</v>
      </c>
    </row>
    <row r="18" spans="2:3" x14ac:dyDescent="0.3">
      <c r="B18" s="6">
        <v>2004</v>
      </c>
      <c r="C18" s="7">
        <v>19.475000000000001</v>
      </c>
    </row>
    <row r="19" spans="2:3" x14ac:dyDescent="0.3">
      <c r="B19" s="6">
        <v>2005</v>
      </c>
      <c r="C19" s="7">
        <v>22.700000000000003</v>
      </c>
    </row>
    <row r="20" spans="2:3" x14ac:dyDescent="0.3">
      <c r="B20" s="6">
        <v>2006</v>
      </c>
      <c r="C20" s="7">
        <v>21.472727272727273</v>
      </c>
    </row>
    <row r="21" spans="2:3" x14ac:dyDescent="0.3">
      <c r="B21" s="6">
        <v>2007</v>
      </c>
      <c r="C21" s="7">
        <v>21.771428571428569</v>
      </c>
    </row>
    <row r="22" spans="2:3" x14ac:dyDescent="0.3">
      <c r="B22" s="6">
        <v>2008</v>
      </c>
      <c r="C22" s="7">
        <v>23.988888888888891</v>
      </c>
    </row>
    <row r="23" spans="2:3" x14ac:dyDescent="0.3">
      <c r="B23" s="6">
        <v>2009</v>
      </c>
      <c r="C23" s="7">
        <v>24.990909090909089</v>
      </c>
    </row>
    <row r="24" spans="2:3" x14ac:dyDescent="0.3">
      <c r="B24" s="6">
        <v>2010</v>
      </c>
      <c r="C24" s="7">
        <v>26.153846153846157</v>
      </c>
    </row>
    <row r="25" spans="2:3" x14ac:dyDescent="0.3">
      <c r="B25" s="6">
        <v>2011</v>
      </c>
      <c r="C25" s="7">
        <v>27.138461538461538</v>
      </c>
    </row>
    <row r="26" spans="2:3" x14ac:dyDescent="0.3">
      <c r="B26" s="6">
        <v>2012</v>
      </c>
      <c r="C26" s="7">
        <v>27.266666666666666</v>
      </c>
    </row>
    <row r="27" spans="2:3" x14ac:dyDescent="0.3">
      <c r="B27" s="6">
        <v>2013</v>
      </c>
      <c r="C27" s="7">
        <v>28.8</v>
      </c>
    </row>
    <row r="28" spans="2:3" x14ac:dyDescent="0.3">
      <c r="B28" s="6">
        <v>2014</v>
      </c>
      <c r="C28" s="7">
        <v>30.111111111111111</v>
      </c>
    </row>
    <row r="29" spans="2:3" x14ac:dyDescent="0.3">
      <c r="B29" s="6">
        <v>2015</v>
      </c>
      <c r="C29" s="7">
        <v>31.166666666666671</v>
      </c>
    </row>
    <row r="30" spans="2:3" x14ac:dyDescent="0.3">
      <c r="B30" s="6">
        <v>2016</v>
      </c>
      <c r="C30" s="7">
        <v>29.98</v>
      </c>
    </row>
    <row r="31" spans="2:3" x14ac:dyDescent="0.3">
      <c r="B31" s="6">
        <v>2017</v>
      </c>
      <c r="C31" s="7">
        <v>32.019999999999996</v>
      </c>
    </row>
    <row r="32" spans="2:3" x14ac:dyDescent="0.3">
      <c r="B32" s="6">
        <v>2018</v>
      </c>
      <c r="C32" s="7">
        <v>33.636363636363633</v>
      </c>
    </row>
    <row r="33" spans="2:3" x14ac:dyDescent="0.3">
      <c r="B33" s="6">
        <v>2019</v>
      </c>
      <c r="C33" s="7">
        <v>35.216666666666669</v>
      </c>
    </row>
    <row r="34" spans="2:3" x14ac:dyDescent="0.3">
      <c r="B34" s="6">
        <v>2020</v>
      </c>
      <c r="C34" s="7">
        <v>36.866666666666667</v>
      </c>
    </row>
    <row r="35" spans="2:3" x14ac:dyDescent="0.3">
      <c r="B35" s="6">
        <v>2021</v>
      </c>
      <c r="C35" s="7">
        <v>35.114285714285714</v>
      </c>
    </row>
    <row r="36" spans="2:3" x14ac:dyDescent="0.3">
      <c r="B36" s="6">
        <v>2022</v>
      </c>
      <c r="C36" s="7">
        <v>38.700000000000003</v>
      </c>
    </row>
    <row r="37" spans="2:3" x14ac:dyDescent="0.3">
      <c r="B37" s="6">
        <v>2023</v>
      </c>
      <c r="C37" s="7">
        <v>38.577777777777776</v>
      </c>
    </row>
    <row r="38" spans="2:3" x14ac:dyDescent="0.3">
      <c r="B38" s="6">
        <v>2024</v>
      </c>
      <c r="C38" s="7">
        <v>39.200000000000003</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583CD-305F-4077-AC5A-759BED9F6692}">
  <dimension ref="B3:C13"/>
  <sheetViews>
    <sheetView workbookViewId="0">
      <selection activeCell="O15" sqref="O15"/>
    </sheetView>
  </sheetViews>
  <sheetFormatPr defaultRowHeight="14.4" x14ac:dyDescent="0.3"/>
  <cols>
    <col min="2" max="2" width="12.44140625" bestFit="1" customWidth="1"/>
    <col min="3" max="3" width="14.21875" bestFit="1" customWidth="1"/>
  </cols>
  <sheetData>
    <row r="3" spans="2:3" x14ac:dyDescent="0.3">
      <c r="B3" s="5" t="s">
        <v>79</v>
      </c>
      <c r="C3" t="s">
        <v>75</v>
      </c>
    </row>
    <row r="4" spans="2:3" x14ac:dyDescent="0.3">
      <c r="B4" s="6" t="s">
        <v>32</v>
      </c>
      <c r="C4" s="2">
        <v>100</v>
      </c>
    </row>
    <row r="5" spans="2:3" x14ac:dyDescent="0.3">
      <c r="B5" s="6" t="s">
        <v>63</v>
      </c>
      <c r="C5" s="2">
        <v>97</v>
      </c>
    </row>
    <row r="6" spans="2:3" x14ac:dyDescent="0.3">
      <c r="B6" s="6" t="s">
        <v>23</v>
      </c>
      <c r="C6" s="2">
        <v>83</v>
      </c>
    </row>
    <row r="7" spans="2:3" x14ac:dyDescent="0.3">
      <c r="B7" s="6" t="s">
        <v>54</v>
      </c>
      <c r="C7" s="2">
        <v>82</v>
      </c>
    </row>
    <row r="8" spans="2:3" x14ac:dyDescent="0.3">
      <c r="B8" s="6" t="s">
        <v>46</v>
      </c>
      <c r="C8" s="2">
        <v>79</v>
      </c>
    </row>
    <row r="9" spans="2:3" x14ac:dyDescent="0.3">
      <c r="B9" s="6" t="s">
        <v>27</v>
      </c>
      <c r="C9" s="2">
        <v>73</v>
      </c>
    </row>
    <row r="10" spans="2:3" x14ac:dyDescent="0.3">
      <c r="B10" s="6" t="s">
        <v>43</v>
      </c>
      <c r="C10" s="2">
        <v>72</v>
      </c>
    </row>
    <row r="11" spans="2:3" x14ac:dyDescent="0.3">
      <c r="B11" s="6" t="s">
        <v>19</v>
      </c>
      <c r="C11" s="2">
        <v>66</v>
      </c>
    </row>
    <row r="12" spans="2:3" x14ac:dyDescent="0.3">
      <c r="B12" s="6" t="s">
        <v>14</v>
      </c>
      <c r="C12" s="2">
        <v>65</v>
      </c>
    </row>
    <row r="13" spans="2:3" x14ac:dyDescent="0.3">
      <c r="B13" s="6" t="s">
        <v>51</v>
      </c>
      <c r="C13" s="2">
        <v>60</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AF627-65D0-4F5E-8DC6-22AA922B42DF}">
  <dimension ref="B3:C15"/>
  <sheetViews>
    <sheetView workbookViewId="0">
      <selection activeCell="P28" sqref="P28"/>
    </sheetView>
  </sheetViews>
  <sheetFormatPr defaultRowHeight="14.4" x14ac:dyDescent="0.3"/>
  <cols>
    <col min="2" max="2" width="12.44140625" bestFit="1" customWidth="1"/>
    <col min="3" max="3" width="17.5546875" style="3" bestFit="1" customWidth="1"/>
  </cols>
  <sheetData>
    <row r="3" spans="2:3" x14ac:dyDescent="0.3">
      <c r="B3" s="5" t="s">
        <v>79</v>
      </c>
      <c r="C3" s="4" t="s">
        <v>74</v>
      </c>
    </row>
    <row r="4" spans="2:3" x14ac:dyDescent="0.3">
      <c r="B4" s="8" t="s">
        <v>91</v>
      </c>
      <c r="C4" s="4">
        <v>4985000</v>
      </c>
    </row>
    <row r="5" spans="2:3" x14ac:dyDescent="0.3">
      <c r="B5" s="8" t="s">
        <v>88</v>
      </c>
      <c r="C5" s="4">
        <v>3738000</v>
      </c>
    </row>
    <row r="6" spans="2:3" x14ac:dyDescent="0.3">
      <c r="B6" s="8" t="s">
        <v>92</v>
      </c>
      <c r="C6" s="4">
        <v>2687000</v>
      </c>
    </row>
    <row r="7" spans="2:3" x14ac:dyDescent="0.3">
      <c r="B7" s="8" t="s">
        <v>89</v>
      </c>
      <c r="C7" s="4">
        <v>2938000</v>
      </c>
    </row>
    <row r="8" spans="2:3" x14ac:dyDescent="0.3">
      <c r="B8" s="8" t="s">
        <v>93</v>
      </c>
      <c r="C8" s="4">
        <v>4901000</v>
      </c>
    </row>
    <row r="9" spans="2:3" x14ac:dyDescent="0.3">
      <c r="B9" s="8" t="s">
        <v>82</v>
      </c>
      <c r="C9" s="4">
        <v>3326000</v>
      </c>
    </row>
    <row r="10" spans="2:3" x14ac:dyDescent="0.3">
      <c r="B10" s="8" t="s">
        <v>83</v>
      </c>
      <c r="C10" s="4">
        <v>5312000</v>
      </c>
    </row>
    <row r="11" spans="2:3" x14ac:dyDescent="0.3">
      <c r="B11" s="8" t="s">
        <v>90</v>
      </c>
      <c r="C11" s="4">
        <v>4190000</v>
      </c>
    </row>
    <row r="12" spans="2:3" x14ac:dyDescent="0.3">
      <c r="B12" s="8" t="s">
        <v>84</v>
      </c>
      <c r="C12" s="4">
        <v>3740000</v>
      </c>
    </row>
    <row r="13" spans="2:3" x14ac:dyDescent="0.3">
      <c r="B13" s="8" t="s">
        <v>85</v>
      </c>
      <c r="C13" s="4">
        <v>4871000</v>
      </c>
    </row>
    <row r="14" spans="2:3" x14ac:dyDescent="0.3">
      <c r="B14" s="8" t="s">
        <v>86</v>
      </c>
      <c r="C14" s="4">
        <v>3220000</v>
      </c>
    </row>
    <row r="15" spans="2:3" x14ac:dyDescent="0.3">
      <c r="B15" s="8" t="s">
        <v>87</v>
      </c>
      <c r="C15" s="4">
        <v>4194000</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8C7127295091E4C85CF87021765FEF0" ma:contentTypeVersion="11" ma:contentTypeDescription="Create a new document." ma:contentTypeScope="" ma:versionID="bcfd26a0f62c00857dafb459a3827f61">
  <xsd:schema xmlns:xsd="http://www.w3.org/2001/XMLSchema" xmlns:xs="http://www.w3.org/2001/XMLSchema" xmlns:p="http://schemas.microsoft.com/office/2006/metadata/properties" xmlns:ns3="038b4bb4-3b65-458f-ae0a-b691865ac3fd" targetNamespace="http://schemas.microsoft.com/office/2006/metadata/properties" ma:root="true" ma:fieldsID="dbebaa01931f0fe46dabb39968d31881" ns3:_="">
    <xsd:import namespace="038b4bb4-3b65-458f-ae0a-b691865ac3fd"/>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GenerationTime" minOccurs="0"/>
                <xsd:element ref="ns3:MediaServiceEventHashCode" minOccurs="0"/>
                <xsd:element ref="ns3:MediaServiceSystemTags" minOccurs="0"/>
                <xsd:element ref="ns3:MediaServiceOCR" minOccurs="0"/>
                <xsd:element ref="ns3:MediaLengthInSecond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8b4bb4-3b65-458f-ae0a-b691865ac3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SystemTags" ma:index="15" nillable="true" ma:displayName="MediaServiceSystemTags" ma:hidden="true" ma:internalName="MediaServiceSystemTags" ma:readOnly="true">
      <xsd:simpleType>
        <xsd:restriction base="dms:Note"/>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_activity" ma:index="18"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038b4bb4-3b65-458f-ae0a-b691865ac3fd" xsi:nil="true"/>
  </documentManagement>
</p:properties>
</file>

<file path=customXml/itemProps1.xml><?xml version="1.0" encoding="utf-8"?>
<ds:datastoreItem xmlns:ds="http://schemas.openxmlformats.org/officeDocument/2006/customXml" ds:itemID="{24065C38-1615-4A02-A318-9B8493B4FC03}">
  <ds:schemaRefs>
    <ds:schemaRef ds:uri="http://schemas.microsoft.com/sharepoint/v3/contenttype/forms"/>
  </ds:schemaRefs>
</ds:datastoreItem>
</file>

<file path=customXml/itemProps2.xml><?xml version="1.0" encoding="utf-8"?>
<ds:datastoreItem xmlns:ds="http://schemas.openxmlformats.org/officeDocument/2006/customXml" ds:itemID="{286CE2A3-8178-4BC3-8CBB-A2810EDA34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8b4bb4-3b65-458f-ae0a-b691865ac3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AD12F74-43FC-4DF3-9DBB-E2701AE468AE}">
  <ds:schemaRefs>
    <ds:schemaRef ds:uri="http://schemas.microsoft.com/office/infopath/2007/PartnerControls"/>
    <ds:schemaRef ds:uri="http://schemas.microsoft.com/office/2006/documentManagement/types"/>
    <ds:schemaRef ds:uri="http://schemas.microsoft.com/office/2006/metadata/properties"/>
    <ds:schemaRef ds:uri="http://purl.org/dc/elements/1.1/"/>
    <ds:schemaRef ds:uri="http://purl.org/dc/dcmitype/"/>
    <ds:schemaRef ds:uri="http://purl.org/dc/terms/"/>
    <ds:schemaRef ds:uri="038b4bb4-3b65-458f-ae0a-b691865ac3fd"/>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Car_Sales_Data(1)</vt:lpstr>
      <vt:lpstr>Dashboard(1)</vt:lpstr>
      <vt:lpstr>Dashboard(2)</vt:lpstr>
      <vt:lpstr>KPIs</vt:lpstr>
      <vt:lpstr>Highest Chart</vt:lpstr>
      <vt:lpstr>Most Expensive Car </vt:lpstr>
      <vt:lpstr>Volume of Cars Sold</vt:lpstr>
      <vt:lpstr>Sales by State </vt:lpstr>
      <vt:lpstr>Transmission Type</vt:lpstr>
      <vt:lpstr>Sales by Year</vt:lpstr>
      <vt:lpstr>Color</vt:lpstr>
      <vt:lpstr>Average Car Condition </vt:lpstr>
      <vt:lpstr>Body Type </vt:lpstr>
      <vt:lpstr>Sales by Date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 NA</dc:creator>
  <cp:lastModifiedBy>User NA</cp:lastModifiedBy>
  <dcterms:created xsi:type="dcterms:W3CDTF">2025-11-08T18:05:17Z</dcterms:created>
  <dcterms:modified xsi:type="dcterms:W3CDTF">2025-11-15T05:34:49Z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0x010100F8C7127295091E4C85CF87021765FEF0</vt:lpwstr>
  </property>
</Properties>
</file>